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PMLS\Dropbox\Dropboxxx\supply chain\"/>
    </mc:Choice>
  </mc:AlternateContent>
  <bookViews>
    <workbookView xWindow="0" yWindow="0" windowWidth="19200" windowHeight="6930" activeTab="6"/>
  </bookViews>
  <sheets>
    <sheet name="supplychain_dataset" sheetId="1" r:id="rId1"/>
    <sheet name="supply_chain_clean_dataset" sheetId="25" r:id="rId2"/>
    <sheet name="kpis" sheetId="15" state="hidden" r:id="rId3"/>
    <sheet name="operatinal &amp; quality pivots" sheetId="24" state="hidden" r:id="rId4"/>
    <sheet name="profitmrg by hub pivot " sheetId="22" state="hidden" r:id="rId5"/>
    <sheet name="product perform pivots" sheetId="19" state="hidden" r:id="rId6"/>
    <sheet name="dashboard" sheetId="18" r:id="rId7"/>
    <sheet name="shipping cost vs time pivot" sheetId="13" state="hidden" r:id="rId8"/>
  </sheets>
  <definedNames>
    <definedName name="Slicer_Location1">#N/A</definedName>
    <definedName name="Slicer_Product_type">#N/A</definedName>
  </definedNames>
  <calcPr calcId="162913"/>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C4" i="15" l="1"/>
  <c r="D4" i="15"/>
  <c r="U95" i="1" l="1"/>
  <c r="U94" i="1"/>
  <c r="U93" i="1"/>
  <c r="U92" i="1"/>
  <c r="X101" i="25"/>
  <c r="F101" i="25"/>
  <c r="X100" i="25"/>
  <c r="F100" i="25"/>
  <c r="X99" i="25"/>
  <c r="F99" i="25"/>
  <c r="X98" i="25"/>
  <c r="F98" i="25"/>
  <c r="X97" i="25"/>
  <c r="F97" i="25"/>
  <c r="X96" i="25"/>
  <c r="F96" i="25"/>
  <c r="X95" i="25"/>
  <c r="F95" i="25"/>
  <c r="X94" i="25"/>
  <c r="F94" i="25"/>
  <c r="X93" i="25"/>
  <c r="F93" i="25"/>
  <c r="X92" i="25"/>
  <c r="F92" i="25"/>
  <c r="X91" i="25"/>
  <c r="F91" i="25"/>
  <c r="X90" i="25"/>
  <c r="F90" i="25"/>
  <c r="X89" i="25"/>
  <c r="F89" i="25"/>
  <c r="X88" i="25"/>
  <c r="F88" i="25"/>
  <c r="X87" i="25"/>
  <c r="F87" i="25"/>
  <c r="X86" i="25"/>
  <c r="F86" i="25"/>
  <c r="X85" i="25"/>
  <c r="F85" i="25"/>
  <c r="X84" i="25"/>
  <c r="F84" i="25"/>
  <c r="X83" i="25"/>
  <c r="F83" i="25"/>
  <c r="X82" i="25"/>
  <c r="F82" i="25"/>
  <c r="X81" i="25"/>
  <c r="F81" i="25"/>
  <c r="X80" i="25"/>
  <c r="F80" i="25"/>
  <c r="X79" i="25"/>
  <c r="F79" i="25"/>
  <c r="X78" i="25"/>
  <c r="F78" i="25"/>
  <c r="X77" i="25"/>
  <c r="F77" i="25"/>
  <c r="X76" i="25"/>
  <c r="F76" i="25"/>
  <c r="X75" i="25"/>
  <c r="F75" i="25"/>
  <c r="X74" i="25"/>
  <c r="F74" i="25"/>
  <c r="X73" i="25"/>
  <c r="F73" i="25"/>
  <c r="X72" i="25"/>
  <c r="F72" i="25"/>
  <c r="X71" i="25"/>
  <c r="F71" i="25"/>
  <c r="X70" i="25"/>
  <c r="F70" i="25"/>
  <c r="X69" i="25"/>
  <c r="F69" i="25"/>
  <c r="X68" i="25"/>
  <c r="F68" i="25"/>
  <c r="X67" i="25"/>
  <c r="F67" i="25"/>
  <c r="X66" i="25"/>
  <c r="F66" i="25"/>
  <c r="X65" i="25"/>
  <c r="F65" i="25"/>
  <c r="X64" i="25"/>
  <c r="F64" i="25"/>
  <c r="X63" i="25"/>
  <c r="F63" i="25"/>
  <c r="X62" i="25"/>
  <c r="F62" i="25"/>
  <c r="X61" i="25"/>
  <c r="F61" i="25"/>
  <c r="X60" i="25"/>
  <c r="F60" i="25"/>
  <c r="X59" i="25"/>
  <c r="F59" i="25"/>
  <c r="X58" i="25"/>
  <c r="F58" i="25"/>
  <c r="X57" i="25"/>
  <c r="F57" i="25"/>
  <c r="X56" i="25"/>
  <c r="F56" i="25"/>
  <c r="X55" i="25"/>
  <c r="F55" i="25"/>
  <c r="X54" i="25"/>
  <c r="F54" i="25"/>
  <c r="X53" i="25"/>
  <c r="F53" i="25"/>
  <c r="X52" i="25"/>
  <c r="F52" i="25"/>
  <c r="X51" i="25"/>
  <c r="F51" i="25"/>
  <c r="X50" i="25"/>
  <c r="F50" i="25"/>
  <c r="X49" i="25"/>
  <c r="F49" i="25"/>
  <c r="X48" i="25"/>
  <c r="F48" i="25"/>
  <c r="X47" i="25"/>
  <c r="F47" i="25"/>
  <c r="X46" i="25"/>
  <c r="F46" i="25"/>
  <c r="X45" i="25"/>
  <c r="F45" i="25"/>
  <c r="X44" i="25"/>
  <c r="F44" i="25"/>
  <c r="X43" i="25"/>
  <c r="F43" i="25"/>
  <c r="X42" i="25"/>
  <c r="F42" i="25"/>
  <c r="X41" i="25"/>
  <c r="F41" i="25"/>
  <c r="X40" i="25"/>
  <c r="F40" i="25"/>
  <c r="X39" i="25"/>
  <c r="F39" i="25"/>
  <c r="X38" i="25"/>
  <c r="F38" i="25"/>
  <c r="X37" i="25"/>
  <c r="F37" i="25"/>
  <c r="X36" i="25"/>
  <c r="F36" i="25"/>
  <c r="X35" i="25"/>
  <c r="F35" i="25"/>
  <c r="X34" i="25"/>
  <c r="F34" i="25"/>
  <c r="X33" i="25"/>
  <c r="F33" i="25"/>
  <c r="X32" i="25"/>
  <c r="F32" i="25"/>
  <c r="X31" i="25"/>
  <c r="F31" i="25"/>
  <c r="X30" i="25"/>
  <c r="F30" i="25"/>
  <c r="X29" i="25"/>
  <c r="F29" i="25"/>
  <c r="X28" i="25"/>
  <c r="F28" i="25"/>
  <c r="X27" i="25"/>
  <c r="F27" i="25"/>
  <c r="X26" i="25"/>
  <c r="F26" i="25"/>
  <c r="X25" i="25"/>
  <c r="F25" i="25"/>
  <c r="X24" i="25"/>
  <c r="F24" i="25"/>
  <c r="X23" i="25"/>
  <c r="F23" i="25"/>
  <c r="X22" i="25"/>
  <c r="F22" i="25"/>
  <c r="X21" i="25"/>
  <c r="F21" i="25"/>
  <c r="X20" i="25"/>
  <c r="F20" i="25"/>
  <c r="X19" i="25"/>
  <c r="F19" i="25"/>
  <c r="X18" i="25"/>
  <c r="F18" i="25"/>
  <c r="X17" i="25"/>
  <c r="F17" i="25"/>
  <c r="X16" i="25"/>
  <c r="F16" i="25"/>
  <c r="X15" i="25"/>
  <c r="F15" i="25"/>
  <c r="X14" i="25"/>
  <c r="F14" i="25"/>
  <c r="X13" i="25"/>
  <c r="F13" i="25"/>
  <c r="X12" i="25"/>
  <c r="F12" i="25"/>
  <c r="X11" i="25"/>
  <c r="F11" i="25"/>
  <c r="X10" i="25"/>
  <c r="F10" i="25"/>
  <c r="X9" i="25"/>
  <c r="F9" i="25"/>
  <c r="X8" i="25"/>
  <c r="F8" i="25"/>
  <c r="X7" i="25"/>
  <c r="F7" i="25"/>
  <c r="X6" i="25"/>
  <c r="F6" i="25"/>
  <c r="X5" i="25"/>
  <c r="F5" i="25"/>
  <c r="X4" i="25"/>
  <c r="F4" i="25"/>
  <c r="X3" i="25"/>
  <c r="F3" i="25"/>
  <c r="X2" i="25"/>
  <c r="F2" i="25"/>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6" i="1"/>
  <c r="U97" i="1"/>
  <c r="U98" i="1"/>
  <c r="U99" i="1"/>
  <c r="U100" i="1"/>
  <c r="U101" i="1"/>
  <c r="U102" i="1"/>
  <c r="U103" i="1"/>
  <c r="U104" i="1"/>
  <c r="U105" i="1"/>
  <c r="U2" i="1"/>
  <c r="F4" i="15"/>
  <c r="H4" i="15" s="1"/>
  <c r="E4" i="15"/>
  <c r="B4" i="15"/>
  <c r="G4" i="15" l="1"/>
</calcChain>
</file>

<file path=xl/sharedStrings.xml><?xml version="1.0" encoding="utf-8"?>
<sst xmlns="http://schemas.openxmlformats.org/spreadsheetml/2006/main" count="1957" uniqueCount="181">
  <si>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</si>
  <si>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</si>
  <si>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</si>
  <si>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</si>
  <si>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</si>
  <si>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</si>
  <si>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</si>
  <si>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</si>
  <si>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</si>
  <si>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</si>
  <si>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</si>
  <si>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</si>
  <si>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</si>
  <si>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</si>
  <si>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</si>
  <si>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</si>
  <si>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</si>
  <si>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</si>
  <si>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</si>
  <si>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</si>
  <si>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</si>
  <si>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</si>
  <si>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</si>
  <si>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haircare</t>
  </si>
  <si>
    <t>SKU0</t>
  </si>
  <si>
    <t>Non-binary</t>
  </si>
  <si>
    <t>Pending</t>
  </si>
  <si>
    <t>Road</t>
  </si>
  <si>
    <t>skincare</t>
  </si>
  <si>
    <t>SKU1</t>
  </si>
  <si>
    <t>Female</t>
  </si>
  <si>
    <t>SKU2</t>
  </si>
  <si>
    <t>Unknown</t>
  </si>
  <si>
    <t>Air</t>
  </si>
  <si>
    <t>SKU3</t>
  </si>
  <si>
    <t>Fail</t>
  </si>
  <si>
    <t>Rail</t>
  </si>
  <si>
    <t>SKU4</t>
  </si>
  <si>
    <t>SKU5</t>
  </si>
  <si>
    <t>SKU6</t>
  </si>
  <si>
    <t>Male</t>
  </si>
  <si>
    <t>Sea</t>
  </si>
  <si>
    <t>cosmetics</t>
  </si>
  <si>
    <t>SKU7</t>
  </si>
  <si>
    <t>SKU8</t>
  </si>
  <si>
    <t>SKU9</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</si>
  <si>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</si>
  <si>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</si>
  <si>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</si>
  <si>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</si>
  <si>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</si>
  <si>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</si>
  <si>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</si>
  <si>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</si>
  <si>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</si>
  <si>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</si>
  <si>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</si>
  <si>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</si>
  <si>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</si>
  <si>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</si>
  <si>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</si>
  <si>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</si>
  <si>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</si>
  <si>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</si>
  <si>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</si>
  <si>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</si>
  <si>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</si>
  <si>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</si>
  <si>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</si>
  <si>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</si>
  <si>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</si>
  <si>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</si>
  <si>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</si>
  <si>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</si>
  <si>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</si>
  <si>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</si>
  <si>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</si>
  <si>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</si>
  <si>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</si>
  <si>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</si>
  <si>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</si>
  <si>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</si>
  <si>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</si>
  <si>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</si>
  <si>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</si>
  <si>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</si>
  <si>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</si>
  <si>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</si>
  <si>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</si>
  <si>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</si>
  <si>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</si>
  <si>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</si>
  <si>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</si>
  <si>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</si>
  <si>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</si>
  <si>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</si>
  <si>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</si>
  <si>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</si>
  <si>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</si>
  <si>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</si>
  <si>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</si>
  <si>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</si>
  <si>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</si>
  <si>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</si>
  <si>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</si>
  <si>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</si>
  <si>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</si>
  <si>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</si>
  <si>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</si>
  <si>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</si>
  <si>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</si>
  <si>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</si>
  <si>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</si>
  <si>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</si>
  <si>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</si>
  <si>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</si>
  <si>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</si>
  <si>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</si>
  <si>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</si>
  <si>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</si>
  <si>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</si>
  <si>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</si>
  <si>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</si>
  <si>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</si>
  <si>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</si>
  <si>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</si>
  <si>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</si>
  <si>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</si>
  <si>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</si>
  <si>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</si>
  <si>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</si>
  <si>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</si>
  <si>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</si>
  <si>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</si>
  <si>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</si>
  <si>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</si>
  <si>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</si>
  <si>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GlobalLogix</t>
  </si>
  <si>
    <t>TransOceanic</t>
  </si>
  <si>
    <t>SwiftParcel</t>
  </si>
  <si>
    <t>Indo-Pacific Corridor</t>
  </si>
  <si>
    <t>Trans-Eurasian Hub</t>
  </si>
  <si>
    <t>Americas Gateway</t>
  </si>
  <si>
    <t>South Asia Mfg Hub</t>
  </si>
  <si>
    <t>West Coast Hub (Port)</t>
  </si>
  <si>
    <t>East Gateway Hub</t>
  </si>
  <si>
    <t>Northern Logistics Node</t>
  </si>
  <si>
    <t>Tech &amp; R&amp;D Center</t>
  </si>
  <si>
    <t>theoretical_revenue</t>
  </si>
  <si>
    <t>discount/variance</t>
  </si>
  <si>
    <t>revenue varinace</t>
  </si>
  <si>
    <t>cost per unit</t>
  </si>
  <si>
    <t>deliveryeff_hr</t>
  </si>
  <si>
    <t>Apex Manufacturing Corp</t>
  </si>
  <si>
    <t>Precision Tech Solutions</t>
  </si>
  <si>
    <t>Global Source Logistics</t>
  </si>
  <si>
    <t>Elite Quality Parts</t>
  </si>
  <si>
    <t>Titan Industrial Group</t>
  </si>
  <si>
    <t>Row Labels</t>
  </si>
  <si>
    <t>Grand Total</t>
  </si>
  <si>
    <t>Sum of Number of products sold</t>
  </si>
  <si>
    <t>Sum of Revenue generated</t>
  </si>
  <si>
    <t>Average of Shipping costs</t>
  </si>
  <si>
    <t>Average of Shipping times</t>
  </si>
  <si>
    <t>reve</t>
  </si>
  <si>
    <t>sold</t>
  </si>
  <si>
    <t>proft</t>
  </si>
  <si>
    <t>avgprofit mrgin</t>
  </si>
  <si>
    <t>avg defect</t>
  </si>
  <si>
    <t>defect -units</t>
  </si>
  <si>
    <t>defc prod</t>
  </si>
  <si>
    <t>defect rate</t>
  </si>
  <si>
    <t>net_profit</t>
  </si>
  <si>
    <t>total_costs</t>
  </si>
  <si>
    <t>prfotmargin</t>
  </si>
  <si>
    <t>Sum of net_profit</t>
  </si>
  <si>
    <t>Average of prfotmargin</t>
  </si>
  <si>
    <t>pctdefect rate</t>
  </si>
  <si>
    <t>Sum of Defect rates</t>
  </si>
  <si>
    <t>Sum of pctdefect rate</t>
  </si>
  <si>
    <t>Average of Lead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</si>
</sst>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quot;$&quot;* #,##0.00_);_(&quot;$&quot;* \(#,##0.00\);_(&quot;$&quot;* &quot;-&quot;??_);_(@_)"/>
    <numFmt numFmtId="43" formatCode="_(* #,##0.00_);_(* \(#,##0.00\);_(* &quot;-&quot;??_);_(@_)"/>
    <numFmt numFmtId="164" formatCode="&quot;$&quot;#,##0"/>
    <numFmt numFmtId="165" formatCode="0.00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9" tint="0.59999389629810485"/>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BF6C6"/>
        <bgColor indexed="64"/>
      </patternFill>
    </fill>
    <fill>
      <patternFill patternType="solid">
        <fgColor theme="9"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9">
    <xf numFmtId="0" fontId="0" fillId="0" borderId="0" xfId="0"/>
    <xf numFmtId="0" fontId="16" fillId="0" borderId="0" xfId="0" applyFont="1"/>
    <xf numFmtId="0" fontId="16" fillId="0" borderId="0" xfId="0" applyFont="1" applyAlignment="1">
      <alignment horizontal="center"/>
    </xf>
    <xf numFmtId="0" fontId="0" fillId="0" borderId="0" xfId="0" applyAlignment="1">
      <alignment horizontal="center"/>
    </xf>
    <xf numFmtId="49" fontId="16" fillId="0" borderId="0" xfId="0" applyNumberFormat="1" applyFont="1" applyAlignment="1">
      <alignment horizontal="center"/>
    </xf>
    <xf numFmtId="49" fontId="0" fillId="0" borderId="0" xfId="0" applyNumberFormat="1" applyAlignment="1">
      <alignment horizontal="center"/>
    </xf>
    <xf numFmtId="49" fontId="0" fillId="0" borderId="0" xfId="0" applyNumberFormat="1"/>
    <xf numFmtId="0" fontId="16" fillId="0" borderId="0" xfId="0" applyNumberFormat="1" applyFont="1" applyAlignment="1">
      <alignment horizontal="center"/>
    </xf>
    <xf numFmtId="0" fontId="0" fillId="0" borderId="0" xfId="0" applyNumberFormat="1" applyAlignment="1">
      <alignment horizontal="center"/>
    </xf>
    <xf numFmtId="0" fontId="0" fillId="0" borderId="0" xfId="0" applyNumberFormat="1"/>
    <xf numFmtId="0" fontId="0" fillId="0" borderId="0" xfId="0" pivotButton="1"/>
    <xf numFmtId="0" fontId="0" fillId="0" borderId="0" xfId="0" applyAlignment="1">
      <alignment horizontal="left"/>
    </xf>
    <xf numFmtId="0" fontId="0" fillId="33" borderId="0" xfId="0" applyFill="1"/>
    <xf numFmtId="9" fontId="0" fillId="0" borderId="0" xfId="44" applyFont="1"/>
    <xf numFmtId="164" fontId="0" fillId="0" borderId="0" xfId="42" applyNumberFormat="1" applyFont="1"/>
    <xf numFmtId="164" fontId="0" fillId="0" borderId="0" xfId="43" applyNumberFormat="1" applyFont="1"/>
    <xf numFmtId="165" fontId="0" fillId="0" borderId="0" xfId="0" applyNumberFormat="1"/>
    <xf numFmtId="10" fontId="0" fillId="0" borderId="0" xfId="44" applyNumberFormat="1"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18" fillId="34" borderId="0" xfId="0" applyFont="1" applyFill="1"/>
    <xf numFmtId="10" fontId="0" fillId="0" borderId="0" xfId="0" applyNumberFormat="1"/>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70D01"/>
      <color rgb="FFF03636"/>
      <color rgb="FFEB503B"/>
      <color rgb="FFD1645F"/>
      <color rgb="FF751B1B"/>
      <color rgb="FFC6E9BD"/>
      <color rgb="FFD6F7C5"/>
      <color rgb="FF2C2C2C"/>
      <color rgb="FF3F4E63"/>
      <color rgb="FFDBF6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supplychain_dataset!$H$1</c:f>
              <c:strCache>
                <c:ptCount val="1"/>
                <c:pt idx="0">
                  <c:v>Stock levels</c:v>
                </c:pt>
              </c:strCache>
            </c:strRef>
          </c:tx>
          <c:spPr>
            <a:ln w="19050" cap="rnd">
              <a:noFill/>
              <a:round/>
            </a:ln>
            <a:effectLst/>
          </c:spPr>
          <c:marker>
            <c:symbol val="circle"/>
            <c:size val="5"/>
            <c:spPr>
              <a:solidFill>
                <a:schemeClr val="accent1"/>
              </a:solidFill>
              <a:ln w="9525">
                <a:solidFill>
                  <a:schemeClr val="accent1"/>
                </a:solidFill>
              </a:ln>
              <a:effectLst/>
            </c:spPr>
          </c:marker>
          <c:xVal>
            <c:numRef>
              <c:f>supplychain_dataset!$E$2:$E$105</c:f>
              <c:numCache>
                <c:formatCode>General</c:formatCode>
                <c:ptCount val="104"/>
                <c:pt idx="0">
                  <c:v>802</c:v>
                </c:pt>
                <c:pt idx="1">
                  <c:v>736</c:v>
                </c:pt>
                <c:pt idx="2">
                  <c:v>8</c:v>
                </c:pt>
                <c:pt idx="3">
                  <c:v>83</c:v>
                </c:pt>
                <c:pt idx="4">
                  <c:v>871</c:v>
                </c:pt>
                <c:pt idx="5">
                  <c:v>147</c:v>
                </c:pt>
                <c:pt idx="6">
                  <c:v>65</c:v>
                </c:pt>
                <c:pt idx="7">
                  <c:v>426</c:v>
                </c:pt>
                <c:pt idx="8">
                  <c:v>150</c:v>
                </c:pt>
                <c:pt idx="9">
                  <c:v>980</c:v>
                </c:pt>
                <c:pt idx="10">
                  <c:v>996</c:v>
                </c:pt>
                <c:pt idx="11">
                  <c:v>960</c:v>
                </c:pt>
                <c:pt idx="12">
                  <c:v>336</c:v>
                </c:pt>
                <c:pt idx="13">
                  <c:v>249</c:v>
                </c:pt>
                <c:pt idx="14">
                  <c:v>562</c:v>
                </c:pt>
                <c:pt idx="15">
                  <c:v>469</c:v>
                </c:pt>
                <c:pt idx="16">
                  <c:v>280</c:v>
                </c:pt>
                <c:pt idx="17">
                  <c:v>126</c:v>
                </c:pt>
                <c:pt idx="18">
                  <c:v>620</c:v>
                </c:pt>
                <c:pt idx="19">
                  <c:v>187</c:v>
                </c:pt>
                <c:pt idx="20">
                  <c:v>320</c:v>
                </c:pt>
                <c:pt idx="21">
                  <c:v>601</c:v>
                </c:pt>
                <c:pt idx="22">
                  <c:v>884</c:v>
                </c:pt>
                <c:pt idx="23">
                  <c:v>391</c:v>
                </c:pt>
                <c:pt idx="24">
                  <c:v>209</c:v>
                </c:pt>
                <c:pt idx="25">
                  <c:v>142</c:v>
                </c:pt>
                <c:pt idx="26">
                  <c:v>353</c:v>
                </c:pt>
                <c:pt idx="27">
                  <c:v>352</c:v>
                </c:pt>
                <c:pt idx="28">
                  <c:v>394</c:v>
                </c:pt>
                <c:pt idx="29">
                  <c:v>253</c:v>
                </c:pt>
                <c:pt idx="30">
                  <c:v>327</c:v>
                </c:pt>
                <c:pt idx="31">
                  <c:v>168</c:v>
                </c:pt>
                <c:pt idx="32">
                  <c:v>781</c:v>
                </c:pt>
                <c:pt idx="33">
                  <c:v>616</c:v>
                </c:pt>
                <c:pt idx="34">
                  <c:v>602</c:v>
                </c:pt>
                <c:pt idx="35">
                  <c:v>449</c:v>
                </c:pt>
                <c:pt idx="36">
                  <c:v>963</c:v>
                </c:pt>
                <c:pt idx="37">
                  <c:v>963</c:v>
                </c:pt>
                <c:pt idx="38">
                  <c:v>705</c:v>
                </c:pt>
                <c:pt idx="39">
                  <c:v>176</c:v>
                </c:pt>
                <c:pt idx="40">
                  <c:v>933</c:v>
                </c:pt>
                <c:pt idx="41">
                  <c:v>556</c:v>
                </c:pt>
                <c:pt idx="42">
                  <c:v>155</c:v>
                </c:pt>
                <c:pt idx="43">
                  <c:v>598</c:v>
                </c:pt>
                <c:pt idx="44">
                  <c:v>919</c:v>
                </c:pt>
                <c:pt idx="45">
                  <c:v>24</c:v>
                </c:pt>
                <c:pt idx="46">
                  <c:v>859</c:v>
                </c:pt>
                <c:pt idx="47">
                  <c:v>910</c:v>
                </c:pt>
                <c:pt idx="48">
                  <c:v>29</c:v>
                </c:pt>
                <c:pt idx="49">
                  <c:v>99</c:v>
                </c:pt>
                <c:pt idx="50">
                  <c:v>633</c:v>
                </c:pt>
                <c:pt idx="51">
                  <c:v>154</c:v>
                </c:pt>
                <c:pt idx="52">
                  <c:v>820</c:v>
                </c:pt>
                <c:pt idx="53">
                  <c:v>242</c:v>
                </c:pt>
                <c:pt idx="54">
                  <c:v>622</c:v>
                </c:pt>
                <c:pt idx="55">
                  <c:v>701</c:v>
                </c:pt>
                <c:pt idx="56">
                  <c:v>93</c:v>
                </c:pt>
                <c:pt idx="57">
                  <c:v>227</c:v>
                </c:pt>
                <c:pt idx="58">
                  <c:v>896</c:v>
                </c:pt>
                <c:pt idx="59">
                  <c:v>484</c:v>
                </c:pt>
                <c:pt idx="60">
                  <c:v>380</c:v>
                </c:pt>
                <c:pt idx="61">
                  <c:v>117</c:v>
                </c:pt>
                <c:pt idx="62">
                  <c:v>270</c:v>
                </c:pt>
                <c:pt idx="63">
                  <c:v>246</c:v>
                </c:pt>
                <c:pt idx="64">
                  <c:v>134</c:v>
                </c:pt>
                <c:pt idx="65">
                  <c:v>457</c:v>
                </c:pt>
                <c:pt idx="66">
                  <c:v>704</c:v>
                </c:pt>
                <c:pt idx="67">
                  <c:v>513</c:v>
                </c:pt>
                <c:pt idx="68">
                  <c:v>163</c:v>
                </c:pt>
                <c:pt idx="69">
                  <c:v>511</c:v>
                </c:pt>
                <c:pt idx="70">
                  <c:v>32</c:v>
                </c:pt>
                <c:pt idx="71">
                  <c:v>637</c:v>
                </c:pt>
                <c:pt idx="72">
                  <c:v>478</c:v>
                </c:pt>
                <c:pt idx="73">
                  <c:v>375</c:v>
                </c:pt>
                <c:pt idx="74">
                  <c:v>904</c:v>
                </c:pt>
                <c:pt idx="75">
                  <c:v>106</c:v>
                </c:pt>
                <c:pt idx="76">
                  <c:v>241</c:v>
                </c:pt>
                <c:pt idx="77">
                  <c:v>359</c:v>
                </c:pt>
                <c:pt idx="78">
                  <c:v>946</c:v>
                </c:pt>
                <c:pt idx="79">
                  <c:v>198</c:v>
                </c:pt>
                <c:pt idx="80">
                  <c:v>872</c:v>
                </c:pt>
                <c:pt idx="81">
                  <c:v>774</c:v>
                </c:pt>
                <c:pt idx="82">
                  <c:v>336</c:v>
                </c:pt>
                <c:pt idx="83">
                  <c:v>663</c:v>
                </c:pt>
                <c:pt idx="84">
                  <c:v>618</c:v>
                </c:pt>
                <c:pt idx="85">
                  <c:v>25</c:v>
                </c:pt>
                <c:pt idx="86">
                  <c:v>223</c:v>
                </c:pt>
                <c:pt idx="87">
                  <c:v>79</c:v>
                </c:pt>
                <c:pt idx="88">
                  <c:v>737</c:v>
                </c:pt>
                <c:pt idx="89">
                  <c:v>134</c:v>
                </c:pt>
                <c:pt idx="90">
                  <c:v>223</c:v>
                </c:pt>
                <c:pt idx="91">
                  <c:v>79</c:v>
                </c:pt>
                <c:pt idx="92">
                  <c:v>737</c:v>
                </c:pt>
                <c:pt idx="93">
                  <c:v>134</c:v>
                </c:pt>
                <c:pt idx="94">
                  <c:v>320</c:v>
                </c:pt>
                <c:pt idx="95">
                  <c:v>916</c:v>
                </c:pt>
                <c:pt idx="96">
                  <c:v>276</c:v>
                </c:pt>
                <c:pt idx="97">
                  <c:v>114</c:v>
                </c:pt>
                <c:pt idx="98">
                  <c:v>987</c:v>
                </c:pt>
                <c:pt idx="99">
                  <c:v>672</c:v>
                </c:pt>
                <c:pt idx="100">
                  <c:v>324</c:v>
                </c:pt>
                <c:pt idx="101">
                  <c:v>62</c:v>
                </c:pt>
                <c:pt idx="102">
                  <c:v>913</c:v>
                </c:pt>
                <c:pt idx="103">
                  <c:v>627</c:v>
                </c:pt>
              </c:numCache>
            </c:numRef>
          </c:xVal>
          <c:yVal>
            <c:numRef>
              <c:f>supplychain_dataset!$H$2:$H$105</c:f>
              <c:numCache>
                <c:formatCode>General</c:formatCode>
                <c:ptCount val="104"/>
                <c:pt idx="0">
                  <c:v>58</c:v>
                </c:pt>
                <c:pt idx="1">
                  <c:v>53</c:v>
                </c:pt>
                <c:pt idx="2">
                  <c:v>1</c:v>
                </c:pt>
                <c:pt idx="3">
                  <c:v>23</c:v>
                </c:pt>
                <c:pt idx="4">
                  <c:v>5</c:v>
                </c:pt>
                <c:pt idx="5">
                  <c:v>90</c:v>
                </c:pt>
                <c:pt idx="6">
                  <c:v>11</c:v>
                </c:pt>
                <c:pt idx="7">
                  <c:v>93</c:v>
                </c:pt>
                <c:pt idx="8">
                  <c:v>5</c:v>
                </c:pt>
                <c:pt idx="9">
                  <c:v>14</c:v>
                </c:pt>
                <c:pt idx="10">
                  <c:v>51</c:v>
                </c:pt>
                <c:pt idx="11">
                  <c:v>46</c:v>
                </c:pt>
                <c:pt idx="12">
                  <c:v>100</c:v>
                </c:pt>
                <c:pt idx="13">
                  <c:v>80</c:v>
                </c:pt>
                <c:pt idx="14">
                  <c:v>54</c:v>
                </c:pt>
                <c:pt idx="15">
                  <c:v>9</c:v>
                </c:pt>
                <c:pt idx="16">
                  <c:v>2</c:v>
                </c:pt>
                <c:pt idx="17">
                  <c:v>45</c:v>
                </c:pt>
                <c:pt idx="18">
                  <c:v>10</c:v>
                </c:pt>
                <c:pt idx="19">
                  <c:v>48</c:v>
                </c:pt>
                <c:pt idx="20">
                  <c:v>27</c:v>
                </c:pt>
                <c:pt idx="21">
                  <c:v>69</c:v>
                </c:pt>
                <c:pt idx="22">
                  <c:v>71</c:v>
                </c:pt>
                <c:pt idx="23">
                  <c:v>84</c:v>
                </c:pt>
                <c:pt idx="24">
                  <c:v>4</c:v>
                </c:pt>
                <c:pt idx="25">
                  <c:v>82</c:v>
                </c:pt>
                <c:pt idx="26">
                  <c:v>59</c:v>
                </c:pt>
                <c:pt idx="27">
                  <c:v>47</c:v>
                </c:pt>
                <c:pt idx="28">
                  <c:v>48</c:v>
                </c:pt>
                <c:pt idx="29">
                  <c:v>45</c:v>
                </c:pt>
                <c:pt idx="30">
                  <c:v>60</c:v>
                </c:pt>
                <c:pt idx="31">
                  <c:v>6</c:v>
                </c:pt>
                <c:pt idx="32">
                  <c:v>89</c:v>
                </c:pt>
                <c:pt idx="33">
                  <c:v>4</c:v>
                </c:pt>
                <c:pt idx="34">
                  <c:v>1</c:v>
                </c:pt>
                <c:pt idx="35">
                  <c:v>42</c:v>
                </c:pt>
                <c:pt idx="36">
                  <c:v>18</c:v>
                </c:pt>
                <c:pt idx="37">
                  <c:v>25</c:v>
                </c:pt>
                <c:pt idx="38">
                  <c:v>69</c:v>
                </c:pt>
                <c:pt idx="39">
                  <c:v>78</c:v>
                </c:pt>
                <c:pt idx="40">
                  <c:v>90</c:v>
                </c:pt>
                <c:pt idx="41">
                  <c:v>64</c:v>
                </c:pt>
                <c:pt idx="42">
                  <c:v>22</c:v>
                </c:pt>
                <c:pt idx="43">
                  <c:v>36</c:v>
                </c:pt>
                <c:pt idx="44">
                  <c:v>13</c:v>
                </c:pt>
                <c:pt idx="45">
                  <c:v>93</c:v>
                </c:pt>
                <c:pt idx="46">
                  <c:v>92</c:v>
                </c:pt>
                <c:pt idx="47">
                  <c:v>4</c:v>
                </c:pt>
                <c:pt idx="48">
                  <c:v>30</c:v>
                </c:pt>
                <c:pt idx="49">
                  <c:v>97</c:v>
                </c:pt>
                <c:pt idx="50">
                  <c:v>31</c:v>
                </c:pt>
                <c:pt idx="51">
                  <c:v>100</c:v>
                </c:pt>
                <c:pt idx="52">
                  <c:v>64</c:v>
                </c:pt>
                <c:pt idx="53">
                  <c:v>96</c:v>
                </c:pt>
                <c:pt idx="54">
                  <c:v>33</c:v>
                </c:pt>
                <c:pt idx="55">
                  <c:v>97</c:v>
                </c:pt>
                <c:pt idx="56">
                  <c:v>25</c:v>
                </c:pt>
                <c:pt idx="57">
                  <c:v>5</c:v>
                </c:pt>
                <c:pt idx="58">
                  <c:v>10</c:v>
                </c:pt>
                <c:pt idx="59">
                  <c:v>100</c:v>
                </c:pt>
                <c:pt idx="60">
                  <c:v>41</c:v>
                </c:pt>
                <c:pt idx="61">
                  <c:v>32</c:v>
                </c:pt>
                <c:pt idx="62">
                  <c:v>86</c:v>
                </c:pt>
                <c:pt idx="63">
                  <c:v>54</c:v>
                </c:pt>
                <c:pt idx="64">
                  <c:v>73</c:v>
                </c:pt>
                <c:pt idx="65">
                  <c:v>57</c:v>
                </c:pt>
                <c:pt idx="66">
                  <c:v>13</c:v>
                </c:pt>
                <c:pt idx="67">
                  <c:v>12</c:v>
                </c:pt>
                <c:pt idx="68">
                  <c:v>0</c:v>
                </c:pt>
                <c:pt idx="69">
                  <c:v>95</c:v>
                </c:pt>
                <c:pt idx="70">
                  <c:v>10</c:v>
                </c:pt>
                <c:pt idx="71">
                  <c:v>76</c:v>
                </c:pt>
                <c:pt idx="72">
                  <c:v>57</c:v>
                </c:pt>
                <c:pt idx="73">
                  <c:v>17</c:v>
                </c:pt>
                <c:pt idx="74">
                  <c:v>41</c:v>
                </c:pt>
                <c:pt idx="75">
                  <c:v>16</c:v>
                </c:pt>
                <c:pt idx="76">
                  <c:v>38</c:v>
                </c:pt>
                <c:pt idx="77">
                  <c:v>96</c:v>
                </c:pt>
                <c:pt idx="78">
                  <c:v>5</c:v>
                </c:pt>
                <c:pt idx="79">
                  <c:v>31</c:v>
                </c:pt>
                <c:pt idx="80">
                  <c:v>39</c:v>
                </c:pt>
                <c:pt idx="81">
                  <c:v>48</c:v>
                </c:pt>
                <c:pt idx="82">
                  <c:v>42</c:v>
                </c:pt>
                <c:pt idx="83">
                  <c:v>65</c:v>
                </c:pt>
                <c:pt idx="84">
                  <c:v>73</c:v>
                </c:pt>
                <c:pt idx="85">
                  <c:v>15</c:v>
                </c:pt>
                <c:pt idx="86">
                  <c:v>32</c:v>
                </c:pt>
                <c:pt idx="87">
                  <c:v>5</c:v>
                </c:pt>
                <c:pt idx="88">
                  <c:v>60</c:v>
                </c:pt>
                <c:pt idx="89">
                  <c:v>90</c:v>
                </c:pt>
                <c:pt idx="90">
                  <c:v>32</c:v>
                </c:pt>
                <c:pt idx="91">
                  <c:v>5</c:v>
                </c:pt>
                <c:pt idx="92">
                  <c:v>60</c:v>
                </c:pt>
                <c:pt idx="93">
                  <c:v>90</c:v>
                </c:pt>
                <c:pt idx="94">
                  <c:v>66</c:v>
                </c:pt>
                <c:pt idx="95">
                  <c:v>98</c:v>
                </c:pt>
                <c:pt idx="96">
                  <c:v>90</c:v>
                </c:pt>
                <c:pt idx="97">
                  <c:v>63</c:v>
                </c:pt>
                <c:pt idx="98">
                  <c:v>77</c:v>
                </c:pt>
                <c:pt idx="99">
                  <c:v>15</c:v>
                </c:pt>
                <c:pt idx="100">
                  <c:v>67</c:v>
                </c:pt>
                <c:pt idx="101">
                  <c:v>46</c:v>
                </c:pt>
                <c:pt idx="102">
                  <c:v>53</c:v>
                </c:pt>
                <c:pt idx="103">
                  <c:v>55</c:v>
                </c:pt>
              </c:numCache>
            </c:numRef>
          </c:yVal>
          <c:smooth val="0"/>
          <c:extLst>
            <c:ext xmlns:c16="http://schemas.microsoft.com/office/drawing/2014/chart" uri="{C3380CC4-5D6E-409C-BE32-E72D297353CC}">
              <c16:uniqueId val="{00000000-2D55-470F-AE06-942A97D0AAB2}"/>
            </c:ext>
          </c:extLst>
        </c:ser>
        <c:dLbls>
          <c:showLegendKey val="0"/>
          <c:showVal val="0"/>
          <c:showCatName val="0"/>
          <c:showSerName val="0"/>
          <c:showPercent val="0"/>
          <c:showBubbleSize val="0"/>
        </c:dLbls>
        <c:axId val="159789551"/>
        <c:axId val="159778735"/>
      </c:scatterChart>
      <c:valAx>
        <c:axId val="159789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78735"/>
        <c:crosses val="autoZero"/>
        <c:crossBetween val="midCat"/>
      </c:valAx>
      <c:valAx>
        <c:axId val="15977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8955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supply_chain_clean_dataset!$K$1</c:f>
              <c:strCache>
                <c:ptCount val="1"/>
                <c:pt idx="0">
                  <c:v>Stock levels</c:v>
                </c:pt>
              </c:strCache>
            </c:strRef>
          </c:tx>
          <c:spPr>
            <a:ln w="19050" cap="rnd">
              <a:noFill/>
              <a:round/>
            </a:ln>
            <a:effectLst/>
          </c:spPr>
          <c:marker>
            <c:symbol val="circle"/>
            <c:size val="5"/>
            <c:spPr>
              <a:solidFill>
                <a:schemeClr val="accent1"/>
              </a:solidFill>
              <a:ln w="9525">
                <a:solidFill>
                  <a:schemeClr val="accent1"/>
                </a:solidFill>
              </a:ln>
              <a:effectLst/>
            </c:spPr>
          </c:marker>
          <c:xVal>
            <c:numRef>
              <c:f>supply_chain_clean_dataset!$H$2:$H$101</c:f>
              <c:numCache>
                <c:formatCode>General</c:formatCode>
                <c:ptCount val="100"/>
                <c:pt idx="0">
                  <c:v>802</c:v>
                </c:pt>
                <c:pt idx="1">
                  <c:v>736</c:v>
                </c:pt>
                <c:pt idx="2">
                  <c:v>8</c:v>
                </c:pt>
                <c:pt idx="3">
                  <c:v>83</c:v>
                </c:pt>
                <c:pt idx="4">
                  <c:v>871</c:v>
                </c:pt>
                <c:pt idx="5">
                  <c:v>147</c:v>
                </c:pt>
                <c:pt idx="6">
                  <c:v>65</c:v>
                </c:pt>
                <c:pt idx="7">
                  <c:v>426</c:v>
                </c:pt>
                <c:pt idx="8">
                  <c:v>150</c:v>
                </c:pt>
                <c:pt idx="9">
                  <c:v>980</c:v>
                </c:pt>
                <c:pt idx="10">
                  <c:v>996</c:v>
                </c:pt>
                <c:pt idx="11">
                  <c:v>960</c:v>
                </c:pt>
                <c:pt idx="12">
                  <c:v>336</c:v>
                </c:pt>
                <c:pt idx="13">
                  <c:v>249</c:v>
                </c:pt>
                <c:pt idx="14">
                  <c:v>562</c:v>
                </c:pt>
                <c:pt idx="15">
                  <c:v>469</c:v>
                </c:pt>
                <c:pt idx="16">
                  <c:v>280</c:v>
                </c:pt>
                <c:pt idx="17">
                  <c:v>126</c:v>
                </c:pt>
                <c:pt idx="18">
                  <c:v>620</c:v>
                </c:pt>
                <c:pt idx="19">
                  <c:v>187</c:v>
                </c:pt>
                <c:pt idx="20">
                  <c:v>320</c:v>
                </c:pt>
                <c:pt idx="21">
                  <c:v>601</c:v>
                </c:pt>
                <c:pt idx="22">
                  <c:v>884</c:v>
                </c:pt>
                <c:pt idx="23">
                  <c:v>391</c:v>
                </c:pt>
                <c:pt idx="24">
                  <c:v>209</c:v>
                </c:pt>
                <c:pt idx="25">
                  <c:v>142</c:v>
                </c:pt>
                <c:pt idx="26">
                  <c:v>353</c:v>
                </c:pt>
                <c:pt idx="27">
                  <c:v>352</c:v>
                </c:pt>
                <c:pt idx="28">
                  <c:v>394</c:v>
                </c:pt>
                <c:pt idx="29">
                  <c:v>253</c:v>
                </c:pt>
                <c:pt idx="30">
                  <c:v>327</c:v>
                </c:pt>
                <c:pt idx="31">
                  <c:v>168</c:v>
                </c:pt>
                <c:pt idx="32">
                  <c:v>781</c:v>
                </c:pt>
                <c:pt idx="33">
                  <c:v>616</c:v>
                </c:pt>
                <c:pt idx="34">
                  <c:v>602</c:v>
                </c:pt>
                <c:pt idx="35">
                  <c:v>449</c:v>
                </c:pt>
                <c:pt idx="36">
                  <c:v>963</c:v>
                </c:pt>
                <c:pt idx="37">
                  <c:v>963</c:v>
                </c:pt>
                <c:pt idx="38">
                  <c:v>705</c:v>
                </c:pt>
                <c:pt idx="39">
                  <c:v>176</c:v>
                </c:pt>
                <c:pt idx="40">
                  <c:v>933</c:v>
                </c:pt>
                <c:pt idx="41">
                  <c:v>556</c:v>
                </c:pt>
                <c:pt idx="42">
                  <c:v>155</c:v>
                </c:pt>
                <c:pt idx="43">
                  <c:v>598</c:v>
                </c:pt>
                <c:pt idx="44">
                  <c:v>919</c:v>
                </c:pt>
                <c:pt idx="45">
                  <c:v>24</c:v>
                </c:pt>
                <c:pt idx="46">
                  <c:v>859</c:v>
                </c:pt>
                <c:pt idx="47">
                  <c:v>910</c:v>
                </c:pt>
                <c:pt idx="48">
                  <c:v>29</c:v>
                </c:pt>
                <c:pt idx="49">
                  <c:v>99</c:v>
                </c:pt>
                <c:pt idx="50">
                  <c:v>633</c:v>
                </c:pt>
                <c:pt idx="51">
                  <c:v>154</c:v>
                </c:pt>
                <c:pt idx="52">
                  <c:v>820</c:v>
                </c:pt>
                <c:pt idx="53">
                  <c:v>242</c:v>
                </c:pt>
                <c:pt idx="54">
                  <c:v>622</c:v>
                </c:pt>
                <c:pt idx="55">
                  <c:v>701</c:v>
                </c:pt>
                <c:pt idx="56">
                  <c:v>93</c:v>
                </c:pt>
                <c:pt idx="57">
                  <c:v>227</c:v>
                </c:pt>
                <c:pt idx="58">
                  <c:v>896</c:v>
                </c:pt>
                <c:pt idx="59">
                  <c:v>484</c:v>
                </c:pt>
                <c:pt idx="60">
                  <c:v>380</c:v>
                </c:pt>
                <c:pt idx="61">
                  <c:v>117</c:v>
                </c:pt>
                <c:pt idx="62">
                  <c:v>270</c:v>
                </c:pt>
                <c:pt idx="63">
                  <c:v>246</c:v>
                </c:pt>
                <c:pt idx="64">
                  <c:v>134</c:v>
                </c:pt>
                <c:pt idx="65">
                  <c:v>457</c:v>
                </c:pt>
                <c:pt idx="66">
                  <c:v>704</c:v>
                </c:pt>
                <c:pt idx="67">
                  <c:v>513</c:v>
                </c:pt>
                <c:pt idx="68">
                  <c:v>163</c:v>
                </c:pt>
                <c:pt idx="69">
                  <c:v>511</c:v>
                </c:pt>
                <c:pt idx="70">
                  <c:v>32</c:v>
                </c:pt>
                <c:pt idx="71">
                  <c:v>637</c:v>
                </c:pt>
                <c:pt idx="72">
                  <c:v>478</c:v>
                </c:pt>
                <c:pt idx="73">
                  <c:v>375</c:v>
                </c:pt>
                <c:pt idx="74">
                  <c:v>904</c:v>
                </c:pt>
                <c:pt idx="75">
                  <c:v>106</c:v>
                </c:pt>
                <c:pt idx="76">
                  <c:v>241</c:v>
                </c:pt>
                <c:pt idx="77">
                  <c:v>359</c:v>
                </c:pt>
                <c:pt idx="78">
                  <c:v>946</c:v>
                </c:pt>
                <c:pt idx="79">
                  <c:v>198</c:v>
                </c:pt>
                <c:pt idx="80">
                  <c:v>872</c:v>
                </c:pt>
                <c:pt idx="81">
                  <c:v>774</c:v>
                </c:pt>
                <c:pt idx="82">
                  <c:v>336</c:v>
                </c:pt>
                <c:pt idx="83">
                  <c:v>663</c:v>
                </c:pt>
                <c:pt idx="84">
                  <c:v>618</c:v>
                </c:pt>
                <c:pt idx="85">
                  <c:v>25</c:v>
                </c:pt>
                <c:pt idx="86">
                  <c:v>223</c:v>
                </c:pt>
                <c:pt idx="87">
                  <c:v>79</c:v>
                </c:pt>
                <c:pt idx="88">
                  <c:v>737</c:v>
                </c:pt>
                <c:pt idx="89">
                  <c:v>134</c:v>
                </c:pt>
                <c:pt idx="90">
                  <c:v>320</c:v>
                </c:pt>
                <c:pt idx="91">
                  <c:v>916</c:v>
                </c:pt>
                <c:pt idx="92">
                  <c:v>276</c:v>
                </c:pt>
                <c:pt idx="93">
                  <c:v>114</c:v>
                </c:pt>
                <c:pt idx="94">
                  <c:v>987</c:v>
                </c:pt>
                <c:pt idx="95">
                  <c:v>672</c:v>
                </c:pt>
                <c:pt idx="96">
                  <c:v>324</c:v>
                </c:pt>
                <c:pt idx="97">
                  <c:v>62</c:v>
                </c:pt>
                <c:pt idx="98">
                  <c:v>913</c:v>
                </c:pt>
                <c:pt idx="99">
                  <c:v>627</c:v>
                </c:pt>
              </c:numCache>
            </c:numRef>
          </c:xVal>
          <c:yVal>
            <c:numRef>
              <c:f>supply_chain_clean_dataset!$K$2:$K$101</c:f>
              <c:numCache>
                <c:formatCode>General</c:formatCode>
                <c:ptCount val="100"/>
                <c:pt idx="0">
                  <c:v>58</c:v>
                </c:pt>
                <c:pt idx="1">
                  <c:v>53</c:v>
                </c:pt>
                <c:pt idx="2">
                  <c:v>1</c:v>
                </c:pt>
                <c:pt idx="3">
                  <c:v>23</c:v>
                </c:pt>
                <c:pt idx="4">
                  <c:v>5</c:v>
                </c:pt>
                <c:pt idx="5">
                  <c:v>90</c:v>
                </c:pt>
                <c:pt idx="6">
                  <c:v>11</c:v>
                </c:pt>
                <c:pt idx="7">
                  <c:v>93</c:v>
                </c:pt>
                <c:pt idx="8">
                  <c:v>5</c:v>
                </c:pt>
                <c:pt idx="9">
                  <c:v>14</c:v>
                </c:pt>
                <c:pt idx="10">
                  <c:v>51</c:v>
                </c:pt>
                <c:pt idx="11">
                  <c:v>46</c:v>
                </c:pt>
                <c:pt idx="12">
                  <c:v>100</c:v>
                </c:pt>
                <c:pt idx="13">
                  <c:v>80</c:v>
                </c:pt>
                <c:pt idx="14">
                  <c:v>54</c:v>
                </c:pt>
                <c:pt idx="15">
                  <c:v>9</c:v>
                </c:pt>
                <c:pt idx="16">
                  <c:v>2</c:v>
                </c:pt>
                <c:pt idx="17">
                  <c:v>45</c:v>
                </c:pt>
                <c:pt idx="18">
                  <c:v>10</c:v>
                </c:pt>
                <c:pt idx="19">
                  <c:v>48</c:v>
                </c:pt>
                <c:pt idx="20">
                  <c:v>27</c:v>
                </c:pt>
                <c:pt idx="21">
                  <c:v>69</c:v>
                </c:pt>
                <c:pt idx="22">
                  <c:v>71</c:v>
                </c:pt>
                <c:pt idx="23">
                  <c:v>84</c:v>
                </c:pt>
                <c:pt idx="24">
                  <c:v>4</c:v>
                </c:pt>
                <c:pt idx="25">
                  <c:v>82</c:v>
                </c:pt>
                <c:pt idx="26">
                  <c:v>59</c:v>
                </c:pt>
                <c:pt idx="27">
                  <c:v>47</c:v>
                </c:pt>
                <c:pt idx="28">
                  <c:v>48</c:v>
                </c:pt>
                <c:pt idx="29">
                  <c:v>45</c:v>
                </c:pt>
                <c:pt idx="30">
                  <c:v>60</c:v>
                </c:pt>
                <c:pt idx="31">
                  <c:v>6</c:v>
                </c:pt>
                <c:pt idx="32">
                  <c:v>89</c:v>
                </c:pt>
                <c:pt idx="33">
                  <c:v>4</c:v>
                </c:pt>
                <c:pt idx="34">
                  <c:v>1</c:v>
                </c:pt>
                <c:pt idx="35">
                  <c:v>42</c:v>
                </c:pt>
                <c:pt idx="36">
                  <c:v>18</c:v>
                </c:pt>
                <c:pt idx="37">
                  <c:v>25</c:v>
                </c:pt>
                <c:pt idx="38">
                  <c:v>69</c:v>
                </c:pt>
                <c:pt idx="39">
                  <c:v>78</c:v>
                </c:pt>
                <c:pt idx="40">
                  <c:v>90</c:v>
                </c:pt>
                <c:pt idx="41">
                  <c:v>64</c:v>
                </c:pt>
                <c:pt idx="42">
                  <c:v>22</c:v>
                </c:pt>
                <c:pt idx="43">
                  <c:v>36</c:v>
                </c:pt>
                <c:pt idx="44">
                  <c:v>13</c:v>
                </c:pt>
                <c:pt idx="45">
                  <c:v>93</c:v>
                </c:pt>
                <c:pt idx="46">
                  <c:v>92</c:v>
                </c:pt>
                <c:pt idx="47">
                  <c:v>4</c:v>
                </c:pt>
                <c:pt idx="48">
                  <c:v>30</c:v>
                </c:pt>
                <c:pt idx="49">
                  <c:v>97</c:v>
                </c:pt>
                <c:pt idx="50">
                  <c:v>31</c:v>
                </c:pt>
                <c:pt idx="51">
                  <c:v>100</c:v>
                </c:pt>
                <c:pt idx="52">
                  <c:v>64</c:v>
                </c:pt>
                <c:pt idx="53">
                  <c:v>96</c:v>
                </c:pt>
                <c:pt idx="54">
                  <c:v>33</c:v>
                </c:pt>
                <c:pt idx="55">
                  <c:v>97</c:v>
                </c:pt>
                <c:pt idx="56">
                  <c:v>25</c:v>
                </c:pt>
                <c:pt idx="57">
                  <c:v>5</c:v>
                </c:pt>
                <c:pt idx="58">
                  <c:v>10</c:v>
                </c:pt>
                <c:pt idx="59">
                  <c:v>100</c:v>
                </c:pt>
                <c:pt idx="60">
                  <c:v>41</c:v>
                </c:pt>
                <c:pt idx="61">
                  <c:v>32</c:v>
                </c:pt>
                <c:pt idx="62">
                  <c:v>86</c:v>
                </c:pt>
                <c:pt idx="63">
                  <c:v>54</c:v>
                </c:pt>
                <c:pt idx="64">
                  <c:v>73</c:v>
                </c:pt>
                <c:pt idx="65">
                  <c:v>57</c:v>
                </c:pt>
                <c:pt idx="66">
                  <c:v>13</c:v>
                </c:pt>
                <c:pt idx="67">
                  <c:v>12</c:v>
                </c:pt>
                <c:pt idx="68">
                  <c:v>0</c:v>
                </c:pt>
                <c:pt idx="69">
                  <c:v>95</c:v>
                </c:pt>
                <c:pt idx="70">
                  <c:v>10</c:v>
                </c:pt>
                <c:pt idx="71">
                  <c:v>76</c:v>
                </c:pt>
                <c:pt idx="72">
                  <c:v>57</c:v>
                </c:pt>
                <c:pt idx="73">
                  <c:v>17</c:v>
                </c:pt>
                <c:pt idx="74">
                  <c:v>41</c:v>
                </c:pt>
                <c:pt idx="75">
                  <c:v>16</c:v>
                </c:pt>
                <c:pt idx="76">
                  <c:v>38</c:v>
                </c:pt>
                <c:pt idx="77">
                  <c:v>96</c:v>
                </c:pt>
                <c:pt idx="78">
                  <c:v>5</c:v>
                </c:pt>
                <c:pt idx="79">
                  <c:v>31</c:v>
                </c:pt>
                <c:pt idx="80">
                  <c:v>39</c:v>
                </c:pt>
                <c:pt idx="81">
                  <c:v>48</c:v>
                </c:pt>
                <c:pt idx="82">
                  <c:v>42</c:v>
                </c:pt>
                <c:pt idx="83">
                  <c:v>65</c:v>
                </c:pt>
                <c:pt idx="84">
                  <c:v>73</c:v>
                </c:pt>
                <c:pt idx="85">
                  <c:v>15</c:v>
                </c:pt>
                <c:pt idx="86">
                  <c:v>32</c:v>
                </c:pt>
                <c:pt idx="87">
                  <c:v>5</c:v>
                </c:pt>
                <c:pt idx="88">
                  <c:v>60</c:v>
                </c:pt>
                <c:pt idx="89">
                  <c:v>90</c:v>
                </c:pt>
                <c:pt idx="90">
                  <c:v>66</c:v>
                </c:pt>
                <c:pt idx="91">
                  <c:v>98</c:v>
                </c:pt>
                <c:pt idx="92">
                  <c:v>90</c:v>
                </c:pt>
                <c:pt idx="93">
                  <c:v>63</c:v>
                </c:pt>
                <c:pt idx="94">
                  <c:v>77</c:v>
                </c:pt>
                <c:pt idx="95">
                  <c:v>15</c:v>
                </c:pt>
                <c:pt idx="96">
                  <c:v>67</c:v>
                </c:pt>
                <c:pt idx="97">
                  <c:v>46</c:v>
                </c:pt>
                <c:pt idx="98">
                  <c:v>53</c:v>
                </c:pt>
                <c:pt idx="99">
                  <c:v>55</c:v>
                </c:pt>
              </c:numCache>
            </c:numRef>
          </c:yVal>
          <c:smooth val="0"/>
          <c:extLst>
            <c:ext xmlns:c16="http://schemas.microsoft.com/office/drawing/2014/chart" uri="{C3380CC4-5D6E-409C-BE32-E72D297353CC}">
              <c16:uniqueId val="{00000000-AF3C-49C4-8076-62CCDB83AD72}"/>
            </c:ext>
          </c:extLst>
        </c:ser>
        <c:dLbls>
          <c:showLegendKey val="0"/>
          <c:showVal val="0"/>
          <c:showCatName val="0"/>
          <c:showSerName val="0"/>
          <c:showPercent val="0"/>
          <c:showBubbleSize val="0"/>
        </c:dLbls>
        <c:axId val="159789551"/>
        <c:axId val="159778735"/>
      </c:scatterChart>
      <c:valAx>
        <c:axId val="159789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78735"/>
        <c:crosses val="autoZero"/>
        <c:crossBetween val="midCat"/>
      </c:valAx>
      <c:valAx>
        <c:axId val="15977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8955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[supplychain_dataanalysis_dashboard.xlsx]operatinal &amp; quality pivots!PivotTable2</c:name>
    <c:fmtId val="0"/>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4.4373703450889236E-2"/>
          <c:y val="7.4444069130403884E-2"/>
          <c:w val="0.9556262965491108"/>
          <c:h val="0.84088386212313604"/>
        </c:manualLayout>
      </c:layout>
      <c:barChart>
        <c:barDir val="col"/>
        <c:grouping val="clustered"/>
        <c:varyColors val="0"/>
        <c:ser>
          <c:idx val="0"/>
          <c:order val="0"/>
          <c:tx>
            <c:strRef>
              <c:f>'operatinal &amp; quality pivots'!$AI$25</c:f>
              <c:strCache>
                <c:ptCount val="1"/>
                <c:pt idx="0">
                  <c:v>Total</c:v>
                </c:pt>
              </c:strCache>
            </c:strRef>
          </c:tx>
          <c:spPr>
            <a:solidFill>
              <a:schemeClr val="accent1"/>
            </a:solidFill>
            <a:ln>
              <a:noFill/>
            </a:ln>
            <a:effectLst/>
          </c:spPr>
          <c:invertIfNegative val="0"/>
          <c:cat>
            <c:strRef>
              <c:f>'operatinal &amp; quality pivots'!$AH$26:$AH$30</c:f>
              <c:strCache>
                <c:ptCount val="4"/>
                <c:pt idx="0">
                  <c:v>Road</c:v>
                </c:pt>
                <c:pt idx="1">
                  <c:v>Rail</c:v>
                </c:pt>
                <c:pt idx="2">
                  <c:v>Air</c:v>
                </c:pt>
                <c:pt idx="3">
                  <c:v>Sea</c:v>
                </c:pt>
              </c:strCache>
            </c:strRef>
          </c:cat>
          <c:val>
            <c:numRef>
              <c:f>'operatinal &amp; quality pivots'!$AI$26:$AI$30</c:f>
              <c:numCache>
                <c:formatCode>General</c:formatCode>
                <c:ptCount val="4"/>
                <c:pt idx="0">
                  <c:v>0.76007215650384374</c:v>
                </c:pt>
                <c:pt idx="1">
                  <c:v>0.64926789438414834</c:v>
                </c:pt>
                <c:pt idx="2">
                  <c:v>0.47422012188545604</c:v>
                </c:pt>
                <c:pt idx="3">
                  <c:v>0.39359781996615806</c:v>
                </c:pt>
              </c:numCache>
            </c:numRef>
          </c:val>
          <c:extLst>
            <c:ext xmlns:c16="http://schemas.microsoft.com/office/drawing/2014/chart" uri="{C3380CC4-5D6E-409C-BE32-E72D297353CC}">
              <c16:uniqueId val="{00000000-4E26-4817-94A3-F0CB73A6F900}"/>
            </c:ext>
          </c:extLst>
        </c:ser>
        <c:dLbls>
          <c:showLegendKey val="0"/>
          <c:showVal val="0"/>
          <c:showCatName val="0"/>
          <c:showSerName val="0"/>
          <c:showPercent val="0"/>
          <c:showBubbleSize val="0"/>
        </c:dLbls>
        <c:gapWidth val="219"/>
        <c:overlap val="-27"/>
        <c:axId val="1086261728"/>
        <c:axId val="1086256736"/>
      </c:barChart>
      <c:catAx>
        <c:axId val="108626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256736"/>
        <c:crosses val="autoZero"/>
        <c:auto val="1"/>
        <c:lblAlgn val="ctr"/>
        <c:lblOffset val="100"/>
        <c:noMultiLvlLbl val="0"/>
      </c:catAx>
      <c:valAx>
        <c:axId val="1086256736"/>
        <c:scaling>
          <c:orientation val="minMax"/>
        </c:scaling>
        <c:delete val="1"/>
        <c:axPos val="l"/>
        <c:numFmt formatCode="General" sourceLinked="1"/>
        <c:majorTickMark val="none"/>
        <c:minorTickMark val="none"/>
        <c:tickLblPos val="nextTo"/>
        <c:crossAx val="1086261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[supplychain_dataanalysis_dashboard.xlsx]operatinal &amp; quality pivots!PivotTable3</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clip" horzOverflow="clip" vert="horz" wrap="none" lIns="38100" tIns="9144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dLbl>
          <c:idx val="0"/>
          <c:layout>
            <c:manualLayout>
              <c:x val="0.17777777777777767"/>
              <c:y val="-0.16203703703703703"/>
            </c:manualLayout>
          </c:layout>
          <c:spPr>
            <a:noFill/>
            <a:ln>
              <a:noFill/>
            </a:ln>
            <a:effectLst/>
          </c:spPr>
          <c:txPr>
            <a:bodyPr rot="0" spcFirstLastPara="1" vertOverflow="clip" horzOverflow="clip" vert="horz" wrap="none" lIns="38100" tIns="9144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3"/>
        <c:spPr>
          <a:solidFill>
            <a:schemeClr val="accent1"/>
          </a:solidFill>
          <a:ln>
            <a:noFill/>
          </a:ln>
          <a:effectLst/>
        </c:spPr>
        <c:dLbl>
          <c:idx val="0"/>
          <c:layout>
            <c:manualLayout>
              <c:x val="-0.13618649181254744"/>
              <c:y val="-6.5854343086697353E-2"/>
            </c:manualLayout>
          </c:layout>
          <c:spPr>
            <a:noFill/>
            <a:ln>
              <a:noFill/>
            </a:ln>
            <a:effectLst/>
          </c:spPr>
          <c:txPr>
            <a:bodyPr rot="0" spcFirstLastPara="1" vertOverflow="clip" horzOverflow="clip" vert="horz" wrap="none" lIns="38100" tIns="91440" rIns="38100" bIns="19050" anchor="b"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33081607238744"/>
                  <c:h val="0.23894519974841352"/>
                </c:manualLayout>
              </c15:layout>
            </c:ext>
          </c:extLst>
        </c:dLbl>
      </c:pivotFmt>
      <c:pivotFmt>
        <c:idx val="4"/>
        <c:spPr>
          <a:solidFill>
            <a:schemeClr val="accent1"/>
          </a:solidFill>
          <a:ln>
            <a:noFill/>
          </a:ln>
          <a:effectLst/>
        </c:spPr>
        <c:dLbl>
          <c:idx val="0"/>
          <c:layout>
            <c:manualLayout>
              <c:x val="-0.18888888888888888"/>
              <c:y val="-0.12962962962962962"/>
            </c:manualLayout>
          </c:layout>
          <c:spPr>
            <a:noFill/>
            <a:ln>
              <a:noFill/>
            </a:ln>
            <a:effectLst/>
          </c:spPr>
          <c:txPr>
            <a:bodyPr rot="0" spcFirstLastPara="1" vertOverflow="clip" horzOverflow="clip" vert="horz" wrap="none" lIns="38100" tIns="9144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5"/>
        <c:spPr>
          <a:solidFill>
            <a:schemeClr val="accent1"/>
          </a:solidFill>
          <a:ln>
            <a:noFill/>
          </a:ln>
          <a:effectLst/>
        </c:spPr>
        <c:dLbl>
          <c:idx val="0"/>
          <c:layout>
            <c:manualLayout>
              <c:x val="0.16388888888888889"/>
              <c:y val="0.12499999999999992"/>
            </c:manualLayout>
          </c:layout>
          <c:spPr>
            <a:noFill/>
            <a:ln>
              <a:noFill/>
            </a:ln>
            <a:effectLst/>
          </c:spPr>
          <c:txPr>
            <a:bodyPr rot="0" spcFirstLastPara="1" vertOverflow="clip" horzOverflow="clip" vert="horz" wrap="none" lIns="38100" tIns="9144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6"/>
        <c:spPr>
          <a:solidFill>
            <a:schemeClr val="accent1"/>
          </a:solidFill>
          <a:ln>
            <a:noFill/>
          </a:ln>
          <a:effectLst/>
        </c:spPr>
        <c:dLbl>
          <c:idx val="0"/>
          <c:layout>
            <c:manualLayout>
              <c:x val="-0.21944444444444447"/>
              <c:y val="9.7222222222222057E-2"/>
            </c:manualLayout>
          </c:layout>
          <c:spPr>
            <a:noFill/>
            <a:ln>
              <a:noFill/>
            </a:ln>
            <a:effectLst/>
          </c:spPr>
          <c:txPr>
            <a:bodyPr rot="0" spcFirstLastPara="1" vertOverflow="clip" horzOverflow="clip" vert="horz" wrap="none" lIns="38100" tIns="9144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doughnutChart>
        <c:varyColors val="1"/>
        <c:ser>
          <c:idx val="0"/>
          <c:order val="0"/>
          <c:tx>
            <c:strRef>
              <c:f>'operatinal &amp; quality pivots'!$AJ$2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BF2-4216-BA6E-6583C237A2B2}"/>
              </c:ext>
            </c:extLst>
          </c:dPt>
          <c:dPt>
            <c:idx val="1"/>
            <c:bubble3D val="0"/>
            <c:spPr>
              <a:solidFill>
                <a:schemeClr val="accent2"/>
              </a:solidFill>
              <a:ln>
                <a:noFill/>
              </a:ln>
              <a:effectLst/>
            </c:spPr>
            <c:extLst>
              <c:ext xmlns:c16="http://schemas.microsoft.com/office/drawing/2014/chart" uri="{C3380CC4-5D6E-409C-BE32-E72D297353CC}">
                <c16:uniqueId val="{00000002-2BF2-4216-BA6E-6583C237A2B2}"/>
              </c:ext>
            </c:extLst>
          </c:dPt>
          <c:dPt>
            <c:idx val="2"/>
            <c:bubble3D val="0"/>
            <c:spPr>
              <a:solidFill>
                <a:schemeClr val="accent3"/>
              </a:solidFill>
              <a:ln>
                <a:noFill/>
              </a:ln>
              <a:effectLst/>
            </c:spPr>
            <c:extLst>
              <c:ext xmlns:c16="http://schemas.microsoft.com/office/drawing/2014/chart" uri="{C3380CC4-5D6E-409C-BE32-E72D297353CC}">
                <c16:uniqueId val="{00000003-2BF2-4216-BA6E-6583C237A2B2}"/>
              </c:ext>
            </c:extLst>
          </c:dPt>
          <c:dPt>
            <c:idx val="3"/>
            <c:bubble3D val="0"/>
            <c:spPr>
              <a:solidFill>
                <a:schemeClr val="accent4"/>
              </a:solidFill>
              <a:ln>
                <a:noFill/>
              </a:ln>
              <a:effectLst/>
            </c:spPr>
            <c:extLst>
              <c:ext xmlns:c16="http://schemas.microsoft.com/office/drawing/2014/chart" uri="{C3380CC4-5D6E-409C-BE32-E72D297353CC}">
                <c16:uniqueId val="{00000004-2BF2-4216-BA6E-6583C237A2B2}"/>
              </c:ext>
            </c:extLst>
          </c:dPt>
          <c:dPt>
            <c:idx val="4"/>
            <c:bubble3D val="0"/>
            <c:spPr>
              <a:solidFill>
                <a:schemeClr val="accent5"/>
              </a:solidFill>
              <a:ln>
                <a:noFill/>
              </a:ln>
              <a:effectLst/>
            </c:spPr>
            <c:extLst>
              <c:ext xmlns:c16="http://schemas.microsoft.com/office/drawing/2014/chart" uri="{C3380CC4-5D6E-409C-BE32-E72D297353CC}">
                <c16:uniqueId val="{00000005-2BF2-4216-BA6E-6583C237A2B2}"/>
              </c:ext>
            </c:extLst>
          </c:dPt>
          <c:dLbls>
            <c:dLbl>
              <c:idx val="0"/>
              <c:layout>
                <c:manualLayout>
                  <c:x val="0.17777777777777767"/>
                  <c:y val="-0.16203703703703703"/>
                </c:manualLayout>
              </c:layout>
              <c:showLegendKey val="1"/>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2BF2-4216-BA6E-6583C237A2B2}"/>
                </c:ext>
              </c:extLst>
            </c:dLbl>
            <c:dLbl>
              <c:idx val="1"/>
              <c:layout>
                <c:manualLayout>
                  <c:x val="0.16388888888888889"/>
                  <c:y val="0.12499999999999992"/>
                </c:manualLayout>
              </c:layout>
              <c:showLegendKey val="1"/>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2-2BF2-4216-BA6E-6583C237A2B2}"/>
                </c:ext>
              </c:extLst>
            </c:dLbl>
            <c:dLbl>
              <c:idx val="2"/>
              <c:layout>
                <c:manualLayout>
                  <c:x val="-0.21944444444444447"/>
                  <c:y val="9.7222222222222057E-2"/>
                </c:manualLayout>
              </c:layout>
              <c:showLegendKey val="1"/>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2BF2-4216-BA6E-6583C237A2B2}"/>
                </c:ext>
              </c:extLst>
            </c:dLbl>
            <c:dLbl>
              <c:idx val="3"/>
              <c:layout>
                <c:manualLayout>
                  <c:x val="-0.13618649181254744"/>
                  <c:y val="-6.5854343086697353E-2"/>
                </c:manualLayout>
              </c:layout>
              <c:spPr>
                <a:noFill/>
                <a:ln>
                  <a:noFill/>
                </a:ln>
                <a:effectLst/>
              </c:spPr>
              <c:txPr>
                <a:bodyPr rot="0" spcFirstLastPara="1" vertOverflow="clip" horzOverflow="clip" vert="horz" wrap="none" lIns="38100" tIns="91440" rIns="38100" bIns="19050" anchor="b"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33081607238744"/>
                      <c:h val="0.23894519974841352"/>
                    </c:manualLayout>
                  </c15:layout>
                </c:ext>
                <c:ext xmlns:c16="http://schemas.microsoft.com/office/drawing/2014/chart" uri="{C3380CC4-5D6E-409C-BE32-E72D297353CC}">
                  <c16:uniqueId val="{00000004-2BF2-4216-BA6E-6583C237A2B2}"/>
                </c:ext>
              </c:extLst>
            </c:dLbl>
            <c:dLbl>
              <c:idx val="4"/>
              <c:layout>
                <c:manualLayout>
                  <c:x val="-0.18888888888888888"/>
                  <c:y val="-0.12962962962962962"/>
                </c:manualLayout>
              </c:layout>
              <c:showLegendKey val="1"/>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2BF2-4216-BA6E-6583C237A2B2}"/>
                </c:ext>
              </c:extLst>
            </c:dLbl>
            <c:spPr>
              <a:noFill/>
              <a:ln>
                <a:noFill/>
              </a:ln>
              <a:effectLst/>
            </c:spPr>
            <c:txPr>
              <a:bodyPr rot="0" spcFirstLastPara="1" vertOverflow="clip" horzOverflow="clip" vert="horz" wrap="none" lIns="38100" tIns="9144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'operatinal &amp; quality pivots'!$AI$3:$AI$8</c:f>
              <c:strCache>
                <c:ptCount val="5"/>
                <c:pt idx="0">
                  <c:v>Apex Manufacturing Corp</c:v>
                </c:pt>
                <c:pt idx="1">
                  <c:v>Precision Tech Solutions</c:v>
                </c:pt>
                <c:pt idx="2">
                  <c:v>Titan Industrial Group</c:v>
                </c:pt>
                <c:pt idx="3">
                  <c:v>Elite Quality Parts</c:v>
                </c:pt>
                <c:pt idx="4">
                  <c:v>Global Source Logistics</c:v>
                </c:pt>
              </c:strCache>
            </c:strRef>
          </c:cat>
          <c:val>
            <c:numRef>
              <c:f>'operatinal &amp; quality pivots'!$AJ$3:$AJ$8</c:f>
              <c:numCache>
                <c:formatCode>0.00%</c:formatCode>
                <c:ptCount val="5"/>
                <c:pt idx="0">
                  <c:v>0.26803917014342316</c:v>
                </c:pt>
                <c:pt idx="1">
                  <c:v>0.20454236831076189</c:v>
                </c:pt>
                <c:pt idx="2">
                  <c:v>0.18553287184999248</c:v>
                </c:pt>
                <c:pt idx="3">
                  <c:v>0.18035994630022445</c:v>
                </c:pt>
                <c:pt idx="4">
                  <c:v>0.16152564339559805</c:v>
                </c:pt>
              </c:numCache>
            </c:numRef>
          </c:val>
          <c:extLst>
            <c:ext xmlns:c16="http://schemas.microsoft.com/office/drawing/2014/chart" uri="{C3380CC4-5D6E-409C-BE32-E72D297353CC}">
              <c16:uniqueId val="{00000000-2BF2-4216-BA6E-6583C237A2B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[supplychain_dataanalysis_dashboard.xlsx]operatinal &amp; quality pivots!PivotTable4</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6.3218082183710764E-2"/>
          <c:y val="0"/>
          <c:w val="0.93669287092392384"/>
          <c:h val="0.73603938069323249"/>
        </c:manualLayout>
      </c:layout>
      <c:barChart>
        <c:barDir val="col"/>
        <c:grouping val="clustered"/>
        <c:varyColors val="0"/>
        <c:ser>
          <c:idx val="0"/>
          <c:order val="0"/>
          <c:tx>
            <c:strRef>
              <c:f>'operatinal &amp; quality pivots'!$AD$36</c:f>
              <c:strCache>
                <c:ptCount val="1"/>
                <c:pt idx="0">
                  <c:v>Total</c:v>
                </c:pt>
              </c:strCache>
            </c:strRef>
          </c:tx>
          <c:spPr>
            <a:solidFill>
              <a:schemeClr val="accent1"/>
            </a:solidFill>
            <a:ln>
              <a:noFill/>
            </a:ln>
            <a:effectLst/>
          </c:spPr>
          <c:invertIfNegative val="0"/>
          <c:cat>
            <c:strRef>
              <c:f>'operatinal &amp; quality pivots'!$AC$37:$AC$42</c:f>
              <c:strCache>
                <c:ptCount val="5"/>
                <c:pt idx="0">
                  <c:v>Elite Quality Parts</c:v>
                </c:pt>
                <c:pt idx="1">
                  <c:v>Apex Manufacturing Corp</c:v>
                </c:pt>
                <c:pt idx="2">
                  <c:v>Precision Tech Solutions</c:v>
                </c:pt>
                <c:pt idx="3">
                  <c:v>Titan Industrial Group</c:v>
                </c:pt>
                <c:pt idx="4">
                  <c:v>Global Source Logistics</c:v>
                </c:pt>
              </c:strCache>
            </c:strRef>
          </c:cat>
          <c:val>
            <c:numRef>
              <c:f>'operatinal &amp; quality pivots'!$AD$37:$AD$42</c:f>
              <c:numCache>
                <c:formatCode>General</c:formatCode>
                <c:ptCount val="5"/>
                <c:pt idx="0">
                  <c:v>17</c:v>
                </c:pt>
                <c:pt idx="1">
                  <c:v>16.777777777777779</c:v>
                </c:pt>
                <c:pt idx="2">
                  <c:v>16.227272727272727</c:v>
                </c:pt>
                <c:pt idx="3">
                  <c:v>14.722222222222221</c:v>
                </c:pt>
                <c:pt idx="4">
                  <c:v>14.333333333333334</c:v>
                </c:pt>
              </c:numCache>
            </c:numRef>
          </c:val>
          <c:extLst>
            <c:ext xmlns:c16="http://schemas.microsoft.com/office/drawing/2014/chart" uri="{C3380CC4-5D6E-409C-BE32-E72D297353CC}">
              <c16:uniqueId val="{00000000-C523-4614-9E36-17EDC1BEAE2C}"/>
            </c:ext>
          </c:extLst>
        </c:ser>
        <c:dLbls>
          <c:showLegendKey val="0"/>
          <c:showVal val="0"/>
          <c:showCatName val="0"/>
          <c:showSerName val="0"/>
          <c:showPercent val="0"/>
          <c:showBubbleSize val="0"/>
        </c:dLbls>
        <c:gapWidth val="219"/>
        <c:overlap val="-27"/>
        <c:axId val="1327704640"/>
        <c:axId val="1327710880"/>
      </c:barChart>
      <c:catAx>
        <c:axId val="132770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710880"/>
        <c:crosses val="autoZero"/>
        <c:auto val="1"/>
        <c:lblAlgn val="ctr"/>
        <c:lblOffset val="100"/>
        <c:noMultiLvlLbl val="0"/>
      </c:catAx>
      <c:valAx>
        <c:axId val="1327710880"/>
        <c:scaling>
          <c:orientation val="minMax"/>
        </c:scaling>
        <c:delete val="1"/>
        <c:axPos val="l"/>
        <c:numFmt formatCode="General" sourceLinked="1"/>
        <c:majorTickMark val="none"/>
        <c:minorTickMark val="none"/>
        <c:tickLblPos val="nextTo"/>
        <c:crossAx val="1327704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[supplychain_dataanalysis_dashboard.xlsx]profitmrg by hub pivot !PivotTable4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'profitmrg by hub pivot '!$B$2</c:f>
              <c:strCache>
                <c:ptCount val="1"/>
                <c:pt idx="0">
                  <c:v>Total</c:v>
                </c:pt>
              </c:strCache>
            </c:strRef>
          </c:tx>
          <c:spPr>
            <a:solidFill>
              <a:schemeClr val="accent1"/>
            </a:solidFill>
            <a:ln>
              <a:noFill/>
            </a:ln>
            <a:effectLst/>
          </c:spPr>
          <c:invertIfNegative val="0"/>
          <c:cat>
            <c:strRef>
              <c:f>'profitmrg by hub pivot '!$A$3:$A$8</c:f>
              <c:strCache>
                <c:ptCount val="5"/>
                <c:pt idx="0">
                  <c:v>West Coast Hub (Port)</c:v>
                </c:pt>
                <c:pt idx="1">
                  <c:v>Northern Logistics Node</c:v>
                </c:pt>
                <c:pt idx="2">
                  <c:v>East Gateway Hub</c:v>
                </c:pt>
                <c:pt idx="3">
                  <c:v>Tech &amp; R&amp;D Center</c:v>
                </c:pt>
                <c:pt idx="4">
                  <c:v>South Asia Mfg Hub</c:v>
                </c:pt>
              </c:strCache>
            </c:strRef>
          </c:cat>
          <c:val>
            <c:numRef>
              <c:f>'profitmrg by hub pivot '!$B$3:$B$8</c:f>
              <c:numCache>
                <c:formatCode>General</c:formatCode>
                <c:ptCount val="5"/>
                <c:pt idx="0">
                  <c:v>0.57039569727562889</c:v>
                </c:pt>
                <c:pt idx="1">
                  <c:v>0.32046110477998746</c:v>
                </c:pt>
                <c:pt idx="2">
                  <c:v>0.28855210770949685</c:v>
                </c:pt>
                <c:pt idx="3">
                  <c:v>0.19900888090055094</c:v>
                </c:pt>
                <c:pt idx="4">
                  <c:v>9.2568320233967105E-2</c:v>
                </c:pt>
              </c:numCache>
            </c:numRef>
          </c:val>
          <c:extLst>
            <c:ext xmlns:c16="http://schemas.microsoft.com/office/drawing/2014/chart" uri="{C3380CC4-5D6E-409C-BE32-E72D297353CC}">
              <c16:uniqueId val="{00000000-8237-41A9-B94D-7053E2C7296E}"/>
            </c:ext>
          </c:extLst>
        </c:ser>
        <c:dLbls>
          <c:showLegendKey val="0"/>
          <c:showVal val="0"/>
          <c:showCatName val="0"/>
          <c:showSerName val="0"/>
          <c:showPercent val="0"/>
          <c:showBubbleSize val="0"/>
        </c:dLbls>
        <c:gapWidth val="219"/>
        <c:overlap val="-27"/>
        <c:axId val="787125344"/>
        <c:axId val="787112864"/>
      </c:barChart>
      <c:catAx>
        <c:axId val="78712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112864"/>
        <c:crosses val="autoZero"/>
        <c:auto val="1"/>
        <c:lblAlgn val="ctr"/>
        <c:lblOffset val="100"/>
        <c:noMultiLvlLbl val="0"/>
      </c:catAx>
      <c:valAx>
        <c:axId val="78711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1253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[supplychain_dataanalysis_dashboard.xlsx]product perform pivots!PivotTable2</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'product perform pivots'!$B$27</c:f>
              <c:strCache>
                <c:ptCount val="1"/>
                <c:pt idx="0">
                  <c:v>Sum of net_profit</c:v>
                </c:pt>
              </c:strCache>
            </c:strRef>
          </c:tx>
          <c:spPr>
            <a:solidFill>
              <a:schemeClr val="accent1"/>
            </a:solidFill>
            <a:ln>
              <a:noFill/>
            </a:ln>
            <a:effectLst/>
          </c:spPr>
          <c:invertIfNegative val="0"/>
          <c:cat>
            <c:strRef>
              <c:f>'product perform pivots'!$A$28:$A$31</c:f>
              <c:strCache>
                <c:ptCount val="3"/>
                <c:pt idx="0">
                  <c:v>cosmetics</c:v>
                </c:pt>
                <c:pt idx="1">
                  <c:v>haircare</c:v>
                </c:pt>
                <c:pt idx="2">
                  <c:v>skincare</c:v>
                </c:pt>
              </c:strCache>
            </c:strRef>
          </c:cat>
          <c:val>
            <c:numRef>
              <c:f>'product perform pivots'!$B$28:$B$31</c:f>
              <c:numCache>
                <c:formatCode>General</c:formatCode>
                <c:ptCount val="3"/>
                <c:pt idx="0">
                  <c:v>94814.151747055075</c:v>
                </c:pt>
                <c:pt idx="1">
                  <c:v>78829.357277644041</c:v>
                </c:pt>
                <c:pt idx="2">
                  <c:v>139338.4186342388</c:v>
                </c:pt>
              </c:numCache>
            </c:numRef>
          </c:val>
          <c:extLst>
            <c:ext xmlns:c16="http://schemas.microsoft.com/office/drawing/2014/chart" uri="{C3380CC4-5D6E-409C-BE32-E72D297353CC}">
              <c16:uniqueId val="{00000000-FF23-4B22-BAE6-5A3CBF8AE9DF}"/>
            </c:ext>
          </c:extLst>
        </c:ser>
        <c:ser>
          <c:idx val="1"/>
          <c:order val="1"/>
          <c:tx>
            <c:strRef>
              <c:f>'product perform pivots'!$C$27</c:f>
              <c:strCache>
                <c:ptCount val="1"/>
                <c:pt idx="0">
                  <c:v>Sum of Revenue generated</c:v>
                </c:pt>
              </c:strCache>
            </c:strRef>
          </c:tx>
          <c:spPr>
            <a:solidFill>
              <a:schemeClr val="accent2"/>
            </a:solidFill>
            <a:ln>
              <a:noFill/>
            </a:ln>
            <a:effectLst/>
          </c:spPr>
          <c:invertIfNegative val="0"/>
          <c:cat>
            <c:strRef>
              <c:f>'product perform pivots'!$A$28:$A$31</c:f>
              <c:strCache>
                <c:ptCount val="3"/>
                <c:pt idx="0">
                  <c:v>cosmetics</c:v>
                </c:pt>
                <c:pt idx="1">
                  <c:v>haircare</c:v>
                </c:pt>
                <c:pt idx="2">
                  <c:v>skincare</c:v>
                </c:pt>
              </c:strCache>
            </c:strRef>
          </c:cat>
          <c:val>
            <c:numRef>
              <c:f>'product perform pivots'!$C$28:$C$31</c:f>
              <c:numCache>
                <c:formatCode>General</c:formatCode>
                <c:ptCount val="3"/>
                <c:pt idx="0">
                  <c:v>161521.26599948306</c:v>
                </c:pt>
                <c:pt idx="1">
                  <c:v>174455.39060546222</c:v>
                </c:pt>
                <c:pt idx="2">
                  <c:v>241628.16213306302</c:v>
                </c:pt>
              </c:numCache>
            </c:numRef>
          </c:val>
          <c:extLst>
            <c:ext xmlns:c16="http://schemas.microsoft.com/office/drawing/2014/chart" uri="{C3380CC4-5D6E-409C-BE32-E72D297353CC}">
              <c16:uniqueId val="{00000001-FF23-4B22-BAE6-5A3CBF8AE9DF}"/>
            </c:ext>
          </c:extLst>
        </c:ser>
        <c:dLbls>
          <c:showLegendKey val="0"/>
          <c:showVal val="0"/>
          <c:showCatName val="0"/>
          <c:showSerName val="0"/>
          <c:showPercent val="0"/>
          <c:showBubbleSize val="0"/>
        </c:dLbls>
        <c:gapWidth val="219"/>
        <c:overlap val="-27"/>
        <c:axId val="519574528"/>
        <c:axId val="519577856"/>
      </c:barChart>
      <c:catAx>
        <c:axId val="51957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577856"/>
        <c:crosses val="autoZero"/>
        <c:auto val="1"/>
        <c:lblAlgn val="ctr"/>
        <c:lblOffset val="100"/>
        <c:noMultiLvlLbl val="0"/>
      </c:catAx>
      <c:valAx>
        <c:axId val="519577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5745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14534429936815035"/>
          <c:y val="4.9482618743132825E-2"/>
          <c:w val="0.66242199425094916"/>
          <c:h val="0.67453042149725895"/>
        </c:manualLayout>
      </c:layout>
      <c:scatterChart>
        <c:scatterStyle val="lineMarker"/>
        <c:varyColors val="0"/>
        <c:ser>
          <c:idx val="0"/>
          <c:order val="0"/>
          <c:tx>
            <c:strRef>
              <c:f>supplychain_dataset!$H$1</c:f>
              <c:strCache>
                <c:ptCount val="1"/>
                <c:pt idx="0">
                  <c:v>Stock levels</c:v>
                </c:pt>
              </c:strCache>
            </c:strRef>
          </c:tx>
          <c:spPr>
            <a:ln w="19050" cap="rnd">
              <a:noFill/>
              <a:round/>
            </a:ln>
            <a:effectLst/>
          </c:spPr>
          <c:marker>
            <c:symbol val="circle"/>
            <c:size val="5"/>
            <c:spPr>
              <a:solidFill>
                <a:schemeClr val="accent5"/>
              </a:solidFill>
              <a:ln w="9525">
                <a:solidFill>
                  <a:schemeClr val="accent5"/>
                </a:solidFill>
              </a:ln>
              <a:effectLst/>
            </c:spPr>
          </c:marker>
          <c:xVal>
            <c:numRef>
              <c:f>supplychain_dataset!$E$2:$E$105</c:f>
              <c:numCache>
                <c:formatCode>General</c:formatCode>
                <c:ptCount val="104"/>
                <c:pt idx="0">
                  <c:v>802</c:v>
                </c:pt>
                <c:pt idx="1">
                  <c:v>736</c:v>
                </c:pt>
                <c:pt idx="2">
                  <c:v>8</c:v>
                </c:pt>
                <c:pt idx="3">
                  <c:v>83</c:v>
                </c:pt>
                <c:pt idx="4">
                  <c:v>871</c:v>
                </c:pt>
                <c:pt idx="5">
                  <c:v>147</c:v>
                </c:pt>
                <c:pt idx="6">
                  <c:v>65</c:v>
                </c:pt>
                <c:pt idx="7">
                  <c:v>426</c:v>
                </c:pt>
                <c:pt idx="8">
                  <c:v>150</c:v>
                </c:pt>
                <c:pt idx="9">
                  <c:v>980</c:v>
                </c:pt>
                <c:pt idx="10">
                  <c:v>996</c:v>
                </c:pt>
                <c:pt idx="11">
                  <c:v>960</c:v>
                </c:pt>
                <c:pt idx="12">
                  <c:v>336</c:v>
                </c:pt>
                <c:pt idx="13">
                  <c:v>249</c:v>
                </c:pt>
                <c:pt idx="14">
                  <c:v>562</c:v>
                </c:pt>
                <c:pt idx="15">
                  <c:v>469</c:v>
                </c:pt>
                <c:pt idx="16">
                  <c:v>280</c:v>
                </c:pt>
                <c:pt idx="17">
                  <c:v>126</c:v>
                </c:pt>
                <c:pt idx="18">
                  <c:v>620</c:v>
                </c:pt>
                <c:pt idx="19">
                  <c:v>187</c:v>
                </c:pt>
                <c:pt idx="20">
                  <c:v>320</c:v>
                </c:pt>
                <c:pt idx="21">
                  <c:v>601</c:v>
                </c:pt>
                <c:pt idx="22">
                  <c:v>884</c:v>
                </c:pt>
                <c:pt idx="23">
                  <c:v>391</c:v>
                </c:pt>
                <c:pt idx="24">
                  <c:v>209</c:v>
                </c:pt>
                <c:pt idx="25">
                  <c:v>142</c:v>
                </c:pt>
                <c:pt idx="26">
                  <c:v>353</c:v>
                </c:pt>
                <c:pt idx="27">
                  <c:v>352</c:v>
                </c:pt>
                <c:pt idx="28">
                  <c:v>394</c:v>
                </c:pt>
                <c:pt idx="29">
                  <c:v>253</c:v>
                </c:pt>
                <c:pt idx="30">
                  <c:v>327</c:v>
                </c:pt>
                <c:pt idx="31">
                  <c:v>168</c:v>
                </c:pt>
                <c:pt idx="32">
                  <c:v>781</c:v>
                </c:pt>
                <c:pt idx="33">
                  <c:v>616</c:v>
                </c:pt>
                <c:pt idx="34">
                  <c:v>602</c:v>
                </c:pt>
                <c:pt idx="35">
                  <c:v>449</c:v>
                </c:pt>
                <c:pt idx="36">
                  <c:v>963</c:v>
                </c:pt>
                <c:pt idx="37">
                  <c:v>963</c:v>
                </c:pt>
                <c:pt idx="38">
                  <c:v>705</c:v>
                </c:pt>
                <c:pt idx="39">
                  <c:v>176</c:v>
                </c:pt>
                <c:pt idx="40">
                  <c:v>933</c:v>
                </c:pt>
                <c:pt idx="41">
                  <c:v>556</c:v>
                </c:pt>
                <c:pt idx="42">
                  <c:v>155</c:v>
                </c:pt>
                <c:pt idx="43">
                  <c:v>598</c:v>
                </c:pt>
                <c:pt idx="44">
                  <c:v>919</c:v>
                </c:pt>
                <c:pt idx="45">
                  <c:v>24</c:v>
                </c:pt>
                <c:pt idx="46">
                  <c:v>859</c:v>
                </c:pt>
                <c:pt idx="47">
                  <c:v>910</c:v>
                </c:pt>
                <c:pt idx="48">
                  <c:v>29</c:v>
                </c:pt>
                <c:pt idx="49">
                  <c:v>99</c:v>
                </c:pt>
                <c:pt idx="50">
                  <c:v>633</c:v>
                </c:pt>
                <c:pt idx="51">
                  <c:v>154</c:v>
                </c:pt>
                <c:pt idx="52">
                  <c:v>820</c:v>
                </c:pt>
                <c:pt idx="53">
                  <c:v>242</c:v>
                </c:pt>
                <c:pt idx="54">
                  <c:v>622</c:v>
                </c:pt>
                <c:pt idx="55">
                  <c:v>701</c:v>
                </c:pt>
                <c:pt idx="56">
                  <c:v>93</c:v>
                </c:pt>
                <c:pt idx="57">
                  <c:v>227</c:v>
                </c:pt>
                <c:pt idx="58">
                  <c:v>896</c:v>
                </c:pt>
                <c:pt idx="59">
                  <c:v>484</c:v>
                </c:pt>
                <c:pt idx="60">
                  <c:v>380</c:v>
                </c:pt>
                <c:pt idx="61">
                  <c:v>117</c:v>
                </c:pt>
                <c:pt idx="62">
                  <c:v>270</c:v>
                </c:pt>
                <c:pt idx="63">
                  <c:v>246</c:v>
                </c:pt>
                <c:pt idx="64">
                  <c:v>134</c:v>
                </c:pt>
                <c:pt idx="65">
                  <c:v>457</c:v>
                </c:pt>
                <c:pt idx="66">
                  <c:v>704</c:v>
                </c:pt>
                <c:pt idx="67">
                  <c:v>513</c:v>
                </c:pt>
                <c:pt idx="68">
                  <c:v>163</c:v>
                </c:pt>
                <c:pt idx="69">
                  <c:v>511</c:v>
                </c:pt>
                <c:pt idx="70">
                  <c:v>32</c:v>
                </c:pt>
                <c:pt idx="71">
                  <c:v>637</c:v>
                </c:pt>
                <c:pt idx="72">
                  <c:v>478</c:v>
                </c:pt>
                <c:pt idx="73">
                  <c:v>375</c:v>
                </c:pt>
                <c:pt idx="74">
                  <c:v>904</c:v>
                </c:pt>
                <c:pt idx="75">
                  <c:v>106</c:v>
                </c:pt>
                <c:pt idx="76">
                  <c:v>241</c:v>
                </c:pt>
                <c:pt idx="77">
                  <c:v>359</c:v>
                </c:pt>
                <c:pt idx="78">
                  <c:v>946</c:v>
                </c:pt>
                <c:pt idx="79">
                  <c:v>198</c:v>
                </c:pt>
                <c:pt idx="80">
                  <c:v>872</c:v>
                </c:pt>
                <c:pt idx="81">
                  <c:v>774</c:v>
                </c:pt>
                <c:pt idx="82">
                  <c:v>336</c:v>
                </c:pt>
                <c:pt idx="83">
                  <c:v>663</c:v>
                </c:pt>
                <c:pt idx="84">
                  <c:v>618</c:v>
                </c:pt>
                <c:pt idx="85">
                  <c:v>25</c:v>
                </c:pt>
                <c:pt idx="86">
                  <c:v>223</c:v>
                </c:pt>
                <c:pt idx="87">
                  <c:v>79</c:v>
                </c:pt>
                <c:pt idx="88">
                  <c:v>737</c:v>
                </c:pt>
                <c:pt idx="89">
                  <c:v>134</c:v>
                </c:pt>
                <c:pt idx="90">
                  <c:v>223</c:v>
                </c:pt>
                <c:pt idx="91">
                  <c:v>79</c:v>
                </c:pt>
                <c:pt idx="92">
                  <c:v>737</c:v>
                </c:pt>
                <c:pt idx="93">
                  <c:v>134</c:v>
                </c:pt>
                <c:pt idx="94">
                  <c:v>320</c:v>
                </c:pt>
                <c:pt idx="95">
                  <c:v>916</c:v>
                </c:pt>
                <c:pt idx="96">
                  <c:v>276</c:v>
                </c:pt>
                <c:pt idx="97">
                  <c:v>114</c:v>
                </c:pt>
                <c:pt idx="98">
                  <c:v>987</c:v>
                </c:pt>
                <c:pt idx="99">
                  <c:v>672</c:v>
                </c:pt>
                <c:pt idx="100">
                  <c:v>324</c:v>
                </c:pt>
                <c:pt idx="101">
                  <c:v>62</c:v>
                </c:pt>
                <c:pt idx="102">
                  <c:v>913</c:v>
                </c:pt>
                <c:pt idx="103">
                  <c:v>627</c:v>
                </c:pt>
              </c:numCache>
            </c:numRef>
          </c:xVal>
          <c:yVal>
            <c:numRef>
              <c:f>supplychain_dataset!$H$2:$H$105</c:f>
              <c:numCache>
                <c:formatCode>General</c:formatCode>
                <c:ptCount val="104"/>
                <c:pt idx="0">
                  <c:v>58</c:v>
                </c:pt>
                <c:pt idx="1">
                  <c:v>53</c:v>
                </c:pt>
                <c:pt idx="2">
                  <c:v>1</c:v>
                </c:pt>
                <c:pt idx="3">
                  <c:v>23</c:v>
                </c:pt>
                <c:pt idx="4">
                  <c:v>5</c:v>
                </c:pt>
                <c:pt idx="5">
                  <c:v>90</c:v>
                </c:pt>
                <c:pt idx="6">
                  <c:v>11</c:v>
                </c:pt>
                <c:pt idx="7">
                  <c:v>93</c:v>
                </c:pt>
                <c:pt idx="8">
                  <c:v>5</c:v>
                </c:pt>
                <c:pt idx="9">
                  <c:v>14</c:v>
                </c:pt>
                <c:pt idx="10">
                  <c:v>51</c:v>
                </c:pt>
                <c:pt idx="11">
                  <c:v>46</c:v>
                </c:pt>
                <c:pt idx="12">
                  <c:v>100</c:v>
                </c:pt>
                <c:pt idx="13">
                  <c:v>80</c:v>
                </c:pt>
                <c:pt idx="14">
                  <c:v>54</c:v>
                </c:pt>
                <c:pt idx="15">
                  <c:v>9</c:v>
                </c:pt>
                <c:pt idx="16">
                  <c:v>2</c:v>
                </c:pt>
                <c:pt idx="17">
                  <c:v>45</c:v>
                </c:pt>
                <c:pt idx="18">
                  <c:v>10</c:v>
                </c:pt>
                <c:pt idx="19">
                  <c:v>48</c:v>
                </c:pt>
                <c:pt idx="20">
                  <c:v>27</c:v>
                </c:pt>
                <c:pt idx="21">
                  <c:v>69</c:v>
                </c:pt>
                <c:pt idx="22">
                  <c:v>71</c:v>
                </c:pt>
                <c:pt idx="23">
                  <c:v>84</c:v>
                </c:pt>
                <c:pt idx="24">
                  <c:v>4</c:v>
                </c:pt>
                <c:pt idx="25">
                  <c:v>82</c:v>
                </c:pt>
                <c:pt idx="26">
                  <c:v>59</c:v>
                </c:pt>
                <c:pt idx="27">
                  <c:v>47</c:v>
                </c:pt>
                <c:pt idx="28">
                  <c:v>48</c:v>
                </c:pt>
                <c:pt idx="29">
                  <c:v>45</c:v>
                </c:pt>
                <c:pt idx="30">
                  <c:v>60</c:v>
                </c:pt>
                <c:pt idx="31">
                  <c:v>6</c:v>
                </c:pt>
                <c:pt idx="32">
                  <c:v>89</c:v>
                </c:pt>
                <c:pt idx="33">
                  <c:v>4</c:v>
                </c:pt>
                <c:pt idx="34">
                  <c:v>1</c:v>
                </c:pt>
                <c:pt idx="35">
                  <c:v>42</c:v>
                </c:pt>
                <c:pt idx="36">
                  <c:v>18</c:v>
                </c:pt>
                <c:pt idx="37">
                  <c:v>25</c:v>
                </c:pt>
                <c:pt idx="38">
                  <c:v>69</c:v>
                </c:pt>
                <c:pt idx="39">
                  <c:v>78</c:v>
                </c:pt>
                <c:pt idx="40">
                  <c:v>90</c:v>
                </c:pt>
                <c:pt idx="41">
                  <c:v>64</c:v>
                </c:pt>
                <c:pt idx="42">
                  <c:v>22</c:v>
                </c:pt>
                <c:pt idx="43">
                  <c:v>36</c:v>
                </c:pt>
                <c:pt idx="44">
                  <c:v>13</c:v>
                </c:pt>
                <c:pt idx="45">
                  <c:v>93</c:v>
                </c:pt>
                <c:pt idx="46">
                  <c:v>92</c:v>
                </c:pt>
                <c:pt idx="47">
                  <c:v>4</c:v>
                </c:pt>
                <c:pt idx="48">
                  <c:v>30</c:v>
                </c:pt>
                <c:pt idx="49">
                  <c:v>97</c:v>
                </c:pt>
                <c:pt idx="50">
                  <c:v>31</c:v>
                </c:pt>
                <c:pt idx="51">
                  <c:v>100</c:v>
                </c:pt>
                <c:pt idx="52">
                  <c:v>64</c:v>
                </c:pt>
                <c:pt idx="53">
                  <c:v>96</c:v>
                </c:pt>
                <c:pt idx="54">
                  <c:v>33</c:v>
                </c:pt>
                <c:pt idx="55">
                  <c:v>97</c:v>
                </c:pt>
                <c:pt idx="56">
                  <c:v>25</c:v>
                </c:pt>
                <c:pt idx="57">
                  <c:v>5</c:v>
                </c:pt>
                <c:pt idx="58">
                  <c:v>10</c:v>
                </c:pt>
                <c:pt idx="59">
                  <c:v>100</c:v>
                </c:pt>
                <c:pt idx="60">
                  <c:v>41</c:v>
                </c:pt>
                <c:pt idx="61">
                  <c:v>32</c:v>
                </c:pt>
                <c:pt idx="62">
                  <c:v>86</c:v>
                </c:pt>
                <c:pt idx="63">
                  <c:v>54</c:v>
                </c:pt>
                <c:pt idx="64">
                  <c:v>73</c:v>
                </c:pt>
                <c:pt idx="65">
                  <c:v>57</c:v>
                </c:pt>
                <c:pt idx="66">
                  <c:v>13</c:v>
                </c:pt>
                <c:pt idx="67">
                  <c:v>12</c:v>
                </c:pt>
                <c:pt idx="68">
                  <c:v>0</c:v>
                </c:pt>
                <c:pt idx="69">
                  <c:v>95</c:v>
                </c:pt>
                <c:pt idx="70">
                  <c:v>10</c:v>
                </c:pt>
                <c:pt idx="71">
                  <c:v>76</c:v>
                </c:pt>
                <c:pt idx="72">
                  <c:v>57</c:v>
                </c:pt>
                <c:pt idx="73">
                  <c:v>17</c:v>
                </c:pt>
                <c:pt idx="74">
                  <c:v>41</c:v>
                </c:pt>
                <c:pt idx="75">
                  <c:v>16</c:v>
                </c:pt>
                <c:pt idx="76">
                  <c:v>38</c:v>
                </c:pt>
                <c:pt idx="77">
                  <c:v>96</c:v>
                </c:pt>
                <c:pt idx="78">
                  <c:v>5</c:v>
                </c:pt>
                <c:pt idx="79">
                  <c:v>31</c:v>
                </c:pt>
                <c:pt idx="80">
                  <c:v>39</c:v>
                </c:pt>
                <c:pt idx="81">
                  <c:v>48</c:v>
                </c:pt>
                <c:pt idx="82">
                  <c:v>42</c:v>
                </c:pt>
                <c:pt idx="83">
                  <c:v>65</c:v>
                </c:pt>
                <c:pt idx="84">
                  <c:v>73</c:v>
                </c:pt>
                <c:pt idx="85">
                  <c:v>15</c:v>
                </c:pt>
                <c:pt idx="86">
                  <c:v>32</c:v>
                </c:pt>
                <c:pt idx="87">
                  <c:v>5</c:v>
                </c:pt>
                <c:pt idx="88">
                  <c:v>60</c:v>
                </c:pt>
                <c:pt idx="89">
                  <c:v>90</c:v>
                </c:pt>
                <c:pt idx="90">
                  <c:v>32</c:v>
                </c:pt>
                <c:pt idx="91">
                  <c:v>5</c:v>
                </c:pt>
                <c:pt idx="92">
                  <c:v>60</c:v>
                </c:pt>
                <c:pt idx="93">
                  <c:v>90</c:v>
                </c:pt>
                <c:pt idx="94">
                  <c:v>66</c:v>
                </c:pt>
                <c:pt idx="95">
                  <c:v>98</c:v>
                </c:pt>
                <c:pt idx="96">
                  <c:v>90</c:v>
                </c:pt>
                <c:pt idx="97">
                  <c:v>63</c:v>
                </c:pt>
                <c:pt idx="98">
                  <c:v>77</c:v>
                </c:pt>
                <c:pt idx="99">
                  <c:v>15</c:v>
                </c:pt>
                <c:pt idx="100">
                  <c:v>67</c:v>
                </c:pt>
                <c:pt idx="101">
                  <c:v>46</c:v>
                </c:pt>
                <c:pt idx="102">
                  <c:v>53</c:v>
                </c:pt>
                <c:pt idx="103">
                  <c:v>55</c:v>
                </c:pt>
              </c:numCache>
            </c:numRef>
          </c:yVal>
          <c:smooth val="0"/>
          <c:extLst>
            <c:ext xmlns:c16="http://schemas.microsoft.com/office/drawing/2014/chart" uri="{C3380CC4-5D6E-409C-BE32-E72D297353CC}">
              <c16:uniqueId val="{00000000-BB45-48EA-BF1C-A114243A19E6}"/>
            </c:ext>
          </c:extLst>
        </c:ser>
        <c:dLbls>
          <c:showLegendKey val="0"/>
          <c:showVal val="0"/>
          <c:showCatName val="0"/>
          <c:showSerName val="0"/>
          <c:showPercent val="0"/>
          <c:showBubbleSize val="0"/>
        </c:dLbls>
        <c:axId val="159789551"/>
        <c:axId val="159778735"/>
      </c:scatterChart>
      <c:valAx>
        <c:axId val="159789551"/>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r>
                  <a:rPr lang="en-US" sz="1400" b="0">
                    <a:solidFill>
                      <a:schemeClr val="tx1"/>
                    </a:solidFill>
                    <a:latin typeface="Arial" panose="020B0604020202020204" pitchFamily="34" charset="0"/>
                    <a:cs typeface="Arial" panose="020B0604020202020204" pitchFamily="34" charset="0"/>
                  </a:rPr>
                  <a:t>Stock</a:t>
                </a:r>
                <a:r>
                  <a:rPr lang="en-US" sz="1400" b="0" baseline="0">
                    <a:solidFill>
                      <a:schemeClr val="tx1"/>
                    </a:solidFill>
                    <a:latin typeface="Arial" panose="020B0604020202020204" pitchFamily="34" charset="0"/>
                    <a:cs typeface="Arial" panose="020B0604020202020204" pitchFamily="34" charset="0"/>
                  </a:rPr>
                  <a:t> level</a:t>
                </a:r>
                <a:endParaRPr lang="en-US" sz="1400" b="0">
                  <a:solidFill>
                    <a:schemeClr val="tx1"/>
                  </a:solidFill>
                  <a:latin typeface="Arial" panose="020B0604020202020204" pitchFamily="34" charset="0"/>
                  <a:cs typeface="Arial" panose="020B060402020202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78735"/>
        <c:crosses val="autoZero"/>
        <c:crossBetween val="midCat"/>
      </c:valAx>
      <c:valAx>
        <c:axId val="159778735"/>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r>
                  <a:rPr lang="en-US" sz="1400" b="0">
                    <a:solidFill>
                      <a:schemeClr val="tx1"/>
                    </a:solidFill>
                    <a:latin typeface="Arial" panose="020B0604020202020204" pitchFamily="34" charset="0"/>
                    <a:cs typeface="Arial" panose="020B0604020202020204" pitchFamily="34" charset="0"/>
                  </a:rPr>
                  <a:t>units sold</a:t>
                </a:r>
              </a:p>
            </c:rich>
          </c:tx>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8955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[supplychain_dataanalysis_dashboard.xlsx]product perform pivots!PivotTable2</c:name>
    <c:fmtId val="3"/>
  </c:pivotSource>
  <c:chart>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
        <c:idx val="4"/>
        <c:spPr>
          <a:solidFill>
            <a:schemeClr val="accent5"/>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pivotFmt>
      <c:pivotFmt>
        <c:idx val="6"/>
        <c:spPr>
          <a:solidFill>
            <a:schemeClr val="accent5"/>
          </a:solidFill>
          <a:ln>
            <a:noFill/>
          </a:ln>
          <a:effectLst/>
        </c:spPr>
      </c:pivotFmt>
      <c:pivotFmt>
        <c:idx val="7"/>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pivotFmt>
      <c:pivotFmt>
        <c:idx val="8"/>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marker>
          <c:symbol val="none"/>
        </c:marker>
      </c:pivotFmt>
      <c:pivotFmt>
        <c:idx val="9"/>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marker>
          <c:symbol val="none"/>
        </c:marker>
      </c:pivotFmt>
    </c:pivotFmts>
    <c:plotArea>
      <c:layout/>
      <c:barChart>
        <c:barDir val="col"/>
        <c:grouping val="clustered"/>
        <c:varyColors val="0"/>
        <c:ser>
          <c:idx val="0"/>
          <c:order val="0"/>
          <c:tx>
            <c:strRef>
              <c:f>'product perform pivots'!$B$27</c:f>
              <c:strCache>
                <c:ptCount val="1"/>
                <c:pt idx="0">
                  <c:v>Sum of net_profit</c:v>
                </c:pt>
              </c:strCache>
            </c:strRef>
          </c:tx>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invertIfNegative val="0"/>
          <c:dLbls>
            <c:delete val="1"/>
          </c:dLbls>
          <c:cat>
            <c:strRef>
              <c:f>'product perform pivots'!$A$28:$A$31</c:f>
              <c:strCache>
                <c:ptCount val="3"/>
                <c:pt idx="0">
                  <c:v>cosmetics</c:v>
                </c:pt>
                <c:pt idx="1">
                  <c:v>haircare</c:v>
                </c:pt>
                <c:pt idx="2">
                  <c:v>skincare</c:v>
                </c:pt>
              </c:strCache>
            </c:strRef>
          </c:cat>
          <c:val>
            <c:numRef>
              <c:f>'product perform pivots'!$B$28:$B$31</c:f>
              <c:numCache>
                <c:formatCode>General</c:formatCode>
                <c:ptCount val="3"/>
                <c:pt idx="0">
                  <c:v>94814.151747055075</c:v>
                </c:pt>
                <c:pt idx="1">
                  <c:v>78829.357277644041</c:v>
                </c:pt>
                <c:pt idx="2">
                  <c:v>139338.4186342388</c:v>
                </c:pt>
              </c:numCache>
            </c:numRef>
          </c:val>
          <c:extLst>
            <c:ext xmlns:c16="http://schemas.microsoft.com/office/drawing/2014/chart" uri="{C3380CC4-5D6E-409C-BE32-E72D297353CC}">
              <c16:uniqueId val="{00000000-AA41-44E0-911C-60FFB288FE8E}"/>
            </c:ext>
          </c:extLst>
        </c:ser>
        <c:ser>
          <c:idx val="1"/>
          <c:order val="1"/>
          <c:tx>
            <c:strRef>
              <c:f>'product perform pivots'!$C$27</c:f>
              <c:strCache>
                <c:ptCount val="1"/>
                <c:pt idx="0">
                  <c:v>Sum of Revenue generated</c:v>
                </c:pt>
              </c:strCache>
            </c:strRef>
          </c:tx>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invertIfNegative val="0"/>
          <c:dPt>
            <c:idx val="2"/>
            <c:invertIfNegative val="0"/>
            <c:bubble3D val="0"/>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extLst>
              <c:ext xmlns:c16="http://schemas.microsoft.com/office/drawing/2014/chart" uri="{C3380CC4-5D6E-409C-BE32-E72D297353CC}">
                <c16:uniqueId val="{00000002-AA41-44E0-911C-60FFB288FE8E}"/>
              </c:ext>
            </c:extLst>
          </c:dPt>
          <c:dLbls>
            <c:delete val="1"/>
          </c:dLbls>
          <c:cat>
            <c:strRef>
              <c:f>'product perform pivots'!$A$28:$A$31</c:f>
              <c:strCache>
                <c:ptCount val="3"/>
                <c:pt idx="0">
                  <c:v>cosmetics</c:v>
                </c:pt>
                <c:pt idx="1">
                  <c:v>haircare</c:v>
                </c:pt>
                <c:pt idx="2">
                  <c:v>skincare</c:v>
                </c:pt>
              </c:strCache>
            </c:strRef>
          </c:cat>
          <c:val>
            <c:numRef>
              <c:f>'product perform pivots'!$C$28:$C$31</c:f>
              <c:numCache>
                <c:formatCode>General</c:formatCode>
                <c:ptCount val="3"/>
                <c:pt idx="0">
                  <c:v>161521.26599948306</c:v>
                </c:pt>
                <c:pt idx="1">
                  <c:v>174455.39060546222</c:v>
                </c:pt>
                <c:pt idx="2">
                  <c:v>241628.16213306302</c:v>
                </c:pt>
              </c:numCache>
            </c:numRef>
          </c:val>
          <c:extLst>
            <c:ext xmlns:c16="http://schemas.microsoft.com/office/drawing/2014/chart" uri="{C3380CC4-5D6E-409C-BE32-E72D297353CC}">
              <c16:uniqueId val="{00000001-AA41-44E0-911C-60FFB288FE8E}"/>
            </c:ext>
          </c:extLst>
        </c:ser>
        <c:dLbls>
          <c:dLblPos val="outEnd"/>
          <c:showLegendKey val="0"/>
          <c:showVal val="1"/>
          <c:showCatName val="0"/>
          <c:showSerName val="0"/>
          <c:showPercent val="0"/>
          <c:showBubbleSize val="0"/>
        </c:dLbls>
        <c:gapWidth val="219"/>
        <c:overlap val="-27"/>
        <c:axId val="519574528"/>
        <c:axId val="519577856"/>
      </c:barChart>
      <c:catAx>
        <c:axId val="51957452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519577856"/>
        <c:crosses val="autoZero"/>
        <c:auto val="1"/>
        <c:lblAlgn val="ctr"/>
        <c:lblOffset val="100"/>
        <c:tickLblSkip val="1"/>
        <c:noMultiLvlLbl val="0"/>
      </c:catAx>
      <c:valAx>
        <c:axId val="519577856"/>
        <c:scaling>
          <c:orientation val="minMax"/>
        </c:scaling>
        <c:delete val="1"/>
        <c:axPos val="l"/>
        <c:numFmt formatCode="General" sourceLinked="1"/>
        <c:majorTickMark val="out"/>
        <c:minorTickMark val="none"/>
        <c:tickLblPos val="nextTo"/>
        <c:crossAx val="519574528"/>
        <c:crosses val="autoZero"/>
        <c:crossBetween val="between"/>
      </c:valAx>
      <c:spPr>
        <a:solidFill>
          <a:schemeClr val="bg1"/>
        </a:solidFill>
        <a:ln>
          <a:solidFill>
            <a:schemeClr val="accent6">
              <a:lumMod val="20000"/>
              <a:lumOff val="80000"/>
            </a:schemeClr>
          </a:solidFill>
        </a:ln>
        <a:effectLst/>
      </c:spPr>
    </c:plotArea>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[supplychain_dataanalysis_dashboard.xlsx]shipping cost vs time pivot!PivotTable8</c:name>
    <c:fmtId val="8"/>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gradFill flip="none" rotWithShape="1">
              <a:gsLst>
                <a:gs pos="0">
                  <a:srgbClr val="F03636"/>
                </a:gs>
                <a:gs pos="23000">
                  <a:srgbClr val="F70D01"/>
                </a:gs>
                <a:gs pos="69000">
                  <a:srgbClr val="C00000"/>
                </a:gs>
                <a:gs pos="97000">
                  <a:srgbClr val="C00000"/>
                </a:gs>
              </a:gsLst>
              <a:path path="circle">
                <a:fillToRect l="50000" t="50000" r="50000" b="50000"/>
              </a:path>
              <a:tileRect/>
            </a:gradFill>
            <a:round/>
          </a:ln>
          <a:effectLst/>
        </c:spPr>
        <c:marker>
          <c:symbol val="circle"/>
          <c:size val="5"/>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gradFill flip="none" rotWithShape="1">
              <a:gsLst>
                <a:gs pos="0">
                  <a:srgbClr val="C00000"/>
                </a:gs>
                <a:gs pos="23000">
                  <a:srgbClr val="C00000"/>
                </a:gs>
                <a:gs pos="69000">
                  <a:srgbClr val="C00000"/>
                </a:gs>
                <a:gs pos="97000">
                  <a:srgbClr val="C00000"/>
                </a:gs>
              </a:gsLst>
              <a:path path="circle">
                <a:fillToRect l="50000" t="50000" r="50000" b="50000"/>
              </a:path>
              <a:tileRect/>
            </a:gradFill>
            <a:ln w="9525">
              <a:no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gradFill>
          <a:ln>
            <a:noFill/>
          </a:ln>
          <a:effectLst/>
        </c:spPr>
        <c:marker>
          <c:symbol val="none"/>
        </c:marker>
      </c:pivotFmt>
      <c:pivotFmt>
        <c:idx val="10"/>
        <c:spPr>
          <a:ln w="28575" cap="rnd">
            <a:solidFill>
              <a:schemeClr val="accent1"/>
            </a:solidFill>
            <a:round/>
          </a:ln>
          <a:effectLst/>
        </c:spPr>
        <c:marker>
          <c:symbol val="circle"/>
          <c:size val="5"/>
          <c:spPr>
            <a:gradFill flip="none" rotWithShape="1">
              <a:gsLst>
                <a:gs pos="0">
                  <a:srgbClr val="C00000"/>
                </a:gs>
                <a:gs pos="23000">
                  <a:srgbClr val="C00000"/>
                </a:gs>
                <a:gs pos="69000">
                  <a:srgbClr val="C00000"/>
                </a:gs>
                <a:gs pos="97000">
                  <a:srgbClr val="C00000"/>
                </a:gs>
              </a:gsLst>
              <a:path path="circle">
                <a:fillToRect l="50000" t="50000" r="50000" b="50000"/>
              </a:path>
              <a:tileRect/>
            </a:gradFill>
            <a:ln w="9525">
              <a:noFill/>
            </a:ln>
            <a:effectLst/>
          </c:spPr>
        </c:marker>
        <c:dLbl>
          <c:idx val="0"/>
          <c:layout>
            <c:manualLayout>
              <c:x val="3.9333145877395517E-2"/>
              <c:y val="1.035461287812172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ln w="28575" cap="rnd">
            <a:solidFill>
              <a:schemeClr val="accent1"/>
            </a:solidFill>
            <a:round/>
          </a:ln>
          <a:effectLst/>
        </c:spPr>
        <c:marker>
          <c:symbol val="circle"/>
          <c:size val="5"/>
          <c:spPr>
            <a:gradFill flip="none" rotWithShape="1">
              <a:gsLst>
                <a:gs pos="0">
                  <a:srgbClr val="C00000"/>
                </a:gs>
                <a:gs pos="23000">
                  <a:srgbClr val="C00000"/>
                </a:gs>
                <a:gs pos="69000">
                  <a:srgbClr val="C00000"/>
                </a:gs>
                <a:gs pos="97000">
                  <a:srgbClr val="C00000"/>
                </a:gs>
              </a:gsLst>
              <a:path path="circle">
                <a:fillToRect l="50000" t="50000" r="50000" b="50000"/>
              </a:path>
              <a:tileRect/>
            </a:gradFill>
            <a:ln w="9525">
              <a:noFill/>
            </a:ln>
            <a:effectLst/>
          </c:spPr>
        </c:marker>
        <c:dLbl>
          <c:idx val="0"/>
          <c:layout>
            <c:manualLayout>
              <c:x val="-3.3122649159912219E-2"/>
              <c:y val="-6.212767726873035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ln w="28575" cap="rnd">
            <a:solidFill>
              <a:schemeClr val="accent1"/>
            </a:solidFill>
            <a:round/>
          </a:ln>
          <a:effectLst/>
        </c:spPr>
        <c:marker>
          <c:symbol val="circle"/>
          <c:size val="5"/>
          <c:spPr>
            <a:gradFill flip="none" rotWithShape="1">
              <a:gsLst>
                <a:gs pos="0">
                  <a:srgbClr val="C00000"/>
                </a:gs>
                <a:gs pos="23000">
                  <a:srgbClr val="C00000"/>
                </a:gs>
                <a:gs pos="69000">
                  <a:srgbClr val="C00000"/>
                </a:gs>
                <a:gs pos="97000">
                  <a:srgbClr val="C00000"/>
                </a:gs>
              </a:gsLst>
              <a:path path="circle">
                <a:fillToRect l="50000" t="50000" r="50000" b="50000"/>
              </a:path>
              <a:tileRect/>
            </a:gradFill>
            <a:ln w="9525">
              <a:noFill/>
            </a:ln>
            <a:effectLst/>
          </c:spPr>
        </c:marker>
        <c:dLbl>
          <c:idx val="0"/>
          <c:layout>
            <c:manualLayout>
              <c:x val="-3.7262980304901161E-2"/>
              <c:y val="6.212767726873033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6173178836620983E-2"/>
          <c:y val="5.812710071009098E-2"/>
          <c:w val="0.90765364232675805"/>
          <c:h val="0.74719131125680949"/>
        </c:manualLayout>
      </c:layout>
      <c:barChart>
        <c:barDir val="col"/>
        <c:grouping val="clustered"/>
        <c:varyColors val="0"/>
        <c:ser>
          <c:idx val="0"/>
          <c:order val="0"/>
          <c:tx>
            <c:strRef>
              <c:f>'shipping cost vs time pivot'!$B$2</c:f>
              <c:strCache>
                <c:ptCount val="1"/>
                <c:pt idx="0">
                  <c:v>Average of Shipping costs</c:v>
                </c:pt>
              </c:strCache>
            </c:strRef>
          </c:tx>
          <c:spPr>
            <a:gradFill>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gradFill>
            <a:ln>
              <a:noFill/>
            </a:ln>
            <a:effectLst/>
          </c:spPr>
          <c:invertIfNegative val="0"/>
          <c:dLbls>
            <c:delete val="1"/>
          </c:dLbls>
          <c:cat>
            <c:strRef>
              <c:f>'shipping cost vs time pivot'!$A$3:$A$6</c:f>
              <c:strCache>
                <c:ptCount val="3"/>
                <c:pt idx="0">
                  <c:v>GlobalLogix</c:v>
                </c:pt>
                <c:pt idx="1">
                  <c:v>SwiftParcel</c:v>
                </c:pt>
                <c:pt idx="2">
                  <c:v>TransOceanic</c:v>
                </c:pt>
              </c:strCache>
            </c:strRef>
          </c:cat>
          <c:val>
            <c:numRef>
              <c:f>'shipping cost vs time pivot'!$B$3:$B$6</c:f>
              <c:numCache>
                <c:formatCode>General</c:formatCode>
                <c:ptCount val="3"/>
                <c:pt idx="0">
                  <c:v>5.5549225216512665</c:v>
                </c:pt>
                <c:pt idx="1">
                  <c:v>5.5992916183375021</c:v>
                </c:pt>
                <c:pt idx="2">
                  <c:v>5.5092469689287276</c:v>
                </c:pt>
              </c:numCache>
            </c:numRef>
          </c:val>
          <c:extLst>
            <c:ext xmlns:c16="http://schemas.microsoft.com/office/drawing/2014/chart" uri="{C3380CC4-5D6E-409C-BE32-E72D297353CC}">
              <c16:uniqueId val="{00000000-E60C-4D35-8D2E-E7C84ED05DE1}"/>
            </c:ext>
          </c:extLst>
        </c:ser>
        <c:dLbls>
          <c:showLegendKey val="0"/>
          <c:showVal val="1"/>
          <c:showCatName val="0"/>
          <c:showSerName val="0"/>
          <c:showPercent val="0"/>
          <c:showBubbleSize val="0"/>
        </c:dLbls>
        <c:gapWidth val="219"/>
        <c:axId val="158620079"/>
        <c:axId val="158617999"/>
      </c:barChart>
      <c:lineChart>
        <c:grouping val="stacked"/>
        <c:varyColors val="0"/>
        <c:ser>
          <c:idx val="1"/>
          <c:order val="1"/>
          <c:tx>
            <c:strRef>
              <c:f>'shipping cost vs time pivot'!$C$2</c:f>
              <c:strCache>
                <c:ptCount val="1"/>
                <c:pt idx="0">
                  <c:v>Average of Shipping times</c:v>
                </c:pt>
              </c:strCache>
            </c:strRef>
          </c:tx>
          <c:spPr>
            <a:ln w="28575" cap="rnd">
              <a:solidFill>
                <a:schemeClr val="accent2"/>
              </a:solidFill>
              <a:round/>
            </a:ln>
            <a:effectLst/>
          </c:spPr>
          <c:marker>
            <c:symbol val="circle"/>
            <c:size val="5"/>
            <c:spPr>
              <a:gradFill flip="none" rotWithShape="1">
                <a:gsLst>
                  <a:gs pos="0">
                    <a:srgbClr val="C00000"/>
                  </a:gs>
                  <a:gs pos="23000">
                    <a:srgbClr val="C00000"/>
                  </a:gs>
                  <a:gs pos="69000">
                    <a:srgbClr val="C00000"/>
                  </a:gs>
                  <a:gs pos="97000">
                    <a:srgbClr val="C00000"/>
                  </a:gs>
                </a:gsLst>
                <a:path path="circle">
                  <a:fillToRect l="50000" t="50000" r="50000" b="50000"/>
                </a:path>
                <a:tileRect/>
              </a:gradFill>
              <a:ln w="9525">
                <a:noFill/>
              </a:ln>
              <a:effectLst/>
            </c:spPr>
          </c:marker>
          <c:dPt>
            <c:idx val="0"/>
            <c:marker>
              <c:symbol val="circle"/>
              <c:size val="5"/>
              <c:spPr>
                <a:gradFill flip="none" rotWithShape="1">
                  <a:gsLst>
                    <a:gs pos="0">
                      <a:srgbClr val="C00000"/>
                    </a:gs>
                    <a:gs pos="23000">
                      <a:srgbClr val="C00000"/>
                    </a:gs>
                    <a:gs pos="69000">
                      <a:srgbClr val="C00000"/>
                    </a:gs>
                    <a:gs pos="97000">
                      <a:srgbClr val="C00000"/>
                    </a:gs>
                  </a:gsLst>
                  <a:path path="circle">
                    <a:fillToRect l="50000" t="50000" r="50000" b="50000"/>
                  </a:path>
                  <a:tileRect/>
                </a:gradFill>
                <a:ln w="9525">
                  <a:noFill/>
                </a:ln>
                <a:effectLst/>
              </c:spPr>
            </c:marker>
            <c:bubble3D val="0"/>
            <c:spPr>
              <a:ln w="28575" cap="rnd">
                <a:solidFill>
                  <a:schemeClr val="accent2"/>
                </a:solidFill>
                <a:round/>
              </a:ln>
              <a:effectLst/>
            </c:spPr>
            <c:extLst>
              <c:ext xmlns:c16="http://schemas.microsoft.com/office/drawing/2014/chart" uri="{C3380CC4-5D6E-409C-BE32-E72D297353CC}">
                <c16:uniqueId val="{00000002-2789-450C-9447-6ECAE1D0F60A}"/>
              </c:ext>
            </c:extLst>
          </c:dPt>
          <c:dPt>
            <c:idx val="1"/>
            <c:marker>
              <c:symbol val="circle"/>
              <c:size val="5"/>
              <c:spPr>
                <a:gradFill flip="none" rotWithShape="1">
                  <a:gsLst>
                    <a:gs pos="0">
                      <a:srgbClr val="C00000"/>
                    </a:gs>
                    <a:gs pos="23000">
                      <a:srgbClr val="C00000"/>
                    </a:gs>
                    <a:gs pos="69000">
                      <a:srgbClr val="C00000"/>
                    </a:gs>
                    <a:gs pos="97000">
                      <a:srgbClr val="C00000"/>
                    </a:gs>
                  </a:gsLst>
                  <a:path path="circle">
                    <a:fillToRect l="50000" t="50000" r="50000" b="50000"/>
                  </a:path>
                  <a:tileRect/>
                </a:gradFill>
                <a:ln w="9525">
                  <a:noFill/>
                </a:ln>
                <a:effectLst/>
              </c:spPr>
            </c:marker>
            <c:bubble3D val="0"/>
            <c:spPr>
              <a:ln w="28575" cap="rnd">
                <a:solidFill>
                  <a:schemeClr val="accent2"/>
                </a:solidFill>
                <a:round/>
              </a:ln>
              <a:effectLst/>
            </c:spPr>
            <c:extLst>
              <c:ext xmlns:c16="http://schemas.microsoft.com/office/drawing/2014/chart" uri="{C3380CC4-5D6E-409C-BE32-E72D297353CC}">
                <c16:uniqueId val="{00000001-2789-450C-9447-6ECAE1D0F60A}"/>
              </c:ext>
            </c:extLst>
          </c:dPt>
          <c:dPt>
            <c:idx val="2"/>
            <c:marker>
              <c:symbol val="circle"/>
              <c:size val="5"/>
              <c:spPr>
                <a:gradFill flip="none" rotWithShape="1">
                  <a:gsLst>
                    <a:gs pos="0">
                      <a:srgbClr val="C00000"/>
                    </a:gs>
                    <a:gs pos="23000">
                      <a:srgbClr val="C00000"/>
                    </a:gs>
                    <a:gs pos="69000">
                      <a:srgbClr val="C00000"/>
                    </a:gs>
                    <a:gs pos="97000">
                      <a:srgbClr val="C00000"/>
                    </a:gs>
                  </a:gsLst>
                  <a:path path="circle">
                    <a:fillToRect l="50000" t="50000" r="50000" b="50000"/>
                  </a:path>
                  <a:tileRect/>
                </a:gradFill>
                <a:ln w="9525">
                  <a:noFill/>
                </a:ln>
                <a:effectLst/>
              </c:spPr>
            </c:marker>
            <c:bubble3D val="0"/>
            <c:spPr>
              <a:ln w="28575" cap="rnd">
                <a:solidFill>
                  <a:schemeClr val="accent2"/>
                </a:solidFill>
                <a:round/>
              </a:ln>
              <a:effectLst/>
            </c:spPr>
            <c:extLst>
              <c:ext xmlns:c16="http://schemas.microsoft.com/office/drawing/2014/chart" uri="{C3380CC4-5D6E-409C-BE32-E72D297353CC}">
                <c16:uniqueId val="{00000000-2789-450C-9447-6ECAE1D0F60A}"/>
              </c:ext>
            </c:extLst>
          </c:dPt>
          <c:dLbls>
            <c:dLbl>
              <c:idx val="0"/>
              <c:layout>
                <c:manualLayout>
                  <c:x val="-3.7262980304901161E-2"/>
                  <c:y val="6.212767726873033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2789-450C-9447-6ECAE1D0F60A}"/>
                </c:ext>
              </c:extLst>
            </c:dLbl>
            <c:dLbl>
              <c:idx val="1"/>
              <c:layout>
                <c:manualLayout>
                  <c:x val="-3.3122649159912219E-2"/>
                  <c:y val="-6.212767726873035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2789-450C-9447-6ECAE1D0F60A}"/>
                </c:ext>
              </c:extLst>
            </c:dLbl>
            <c:dLbl>
              <c:idx val="2"/>
              <c:layout>
                <c:manualLayout>
                  <c:x val="3.9333145877395517E-2"/>
                  <c:y val="1.035461287812172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2789-450C-9447-6ECAE1D0F60A}"/>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 cost vs time pivot'!$A$3:$A$6</c:f>
              <c:strCache>
                <c:ptCount val="3"/>
                <c:pt idx="0">
                  <c:v>GlobalLogix</c:v>
                </c:pt>
                <c:pt idx="1">
                  <c:v>SwiftParcel</c:v>
                </c:pt>
                <c:pt idx="2">
                  <c:v>TransOceanic</c:v>
                </c:pt>
              </c:strCache>
            </c:strRef>
          </c:cat>
          <c:val>
            <c:numRef>
              <c:f>'shipping cost vs time pivot'!$C$3:$C$6</c:f>
              <c:numCache>
                <c:formatCode>General</c:formatCode>
                <c:ptCount val="3"/>
                <c:pt idx="0">
                  <c:v>6.1428571428571432</c:v>
                </c:pt>
                <c:pt idx="1">
                  <c:v>6.0344827586206895</c:v>
                </c:pt>
                <c:pt idx="2">
                  <c:v>5.3023255813953485</c:v>
                </c:pt>
              </c:numCache>
            </c:numRef>
          </c:val>
          <c:smooth val="0"/>
          <c:extLst>
            <c:ext xmlns:c16="http://schemas.microsoft.com/office/drawing/2014/chart" uri="{C3380CC4-5D6E-409C-BE32-E72D297353CC}">
              <c16:uniqueId val="{00000001-E60C-4D35-8D2E-E7C84ED05DE1}"/>
            </c:ext>
          </c:extLst>
        </c:ser>
        <c:dLbls>
          <c:showLegendKey val="0"/>
          <c:showVal val="1"/>
          <c:showCatName val="0"/>
          <c:showSerName val="0"/>
          <c:showPercent val="0"/>
          <c:showBubbleSize val="0"/>
        </c:dLbls>
        <c:marker val="1"/>
        <c:smooth val="0"/>
        <c:axId val="1970959647"/>
        <c:axId val="1970935519"/>
      </c:lineChart>
      <c:catAx>
        <c:axId val="15862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58617999"/>
        <c:crosses val="autoZero"/>
        <c:auto val="1"/>
        <c:lblAlgn val="ctr"/>
        <c:lblOffset val="100"/>
        <c:noMultiLvlLbl val="0"/>
      </c:catAx>
      <c:valAx>
        <c:axId val="158617999"/>
        <c:scaling>
          <c:orientation val="minMax"/>
        </c:scaling>
        <c:delete val="1"/>
        <c:axPos val="l"/>
        <c:numFmt formatCode="General" sourceLinked="1"/>
        <c:majorTickMark val="none"/>
        <c:minorTickMark val="none"/>
        <c:tickLblPos val="nextTo"/>
        <c:crossAx val="158620079"/>
        <c:crosses val="autoZero"/>
        <c:crossBetween val="between"/>
      </c:valAx>
      <c:valAx>
        <c:axId val="1970935519"/>
        <c:scaling>
          <c:orientation val="minMax"/>
        </c:scaling>
        <c:delete val="1"/>
        <c:axPos val="r"/>
        <c:numFmt formatCode="General" sourceLinked="1"/>
        <c:majorTickMark val="out"/>
        <c:minorTickMark val="none"/>
        <c:tickLblPos val="nextTo"/>
        <c:crossAx val="1970959647"/>
        <c:crosses val="max"/>
        <c:crossBetween val="between"/>
      </c:valAx>
      <c:catAx>
        <c:axId val="1970959647"/>
        <c:scaling>
          <c:orientation val="minMax"/>
        </c:scaling>
        <c:delete val="1"/>
        <c:axPos val="b"/>
        <c:numFmt formatCode="General" sourceLinked="1"/>
        <c:majorTickMark val="out"/>
        <c:minorTickMark val="none"/>
        <c:tickLblPos val="nextTo"/>
        <c:crossAx val="1970935519"/>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[supplychain_dataanalysis_dashboard.xlsx]profitmrg by hub pivot !PivotTable4</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marker>
          <c:symbol val="none"/>
        </c:marker>
        <c:dLbl>
          <c:idx val="0"/>
          <c:layout/>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pivotFmt>
      <c:pivotFmt>
        <c:idx val="5"/>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pivotFmt>
      <c:pivotFmt>
        <c:idx val="6"/>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pivotFmt>
      <c:pivotFmt>
        <c:idx val="7"/>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pivotFmt>
      <c:pivotFmt>
        <c:idx val="8"/>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dLbl>
          <c:idx val="0"/>
          <c:layout>
            <c:manualLayout>
              <c:x val="-4.1874988322263752E-2"/>
              <c:y val="-9.112855903663648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889473425554611"/>
          <c:y val="0.10568568162895754"/>
          <c:w val="0.68973334252374452"/>
          <c:h val="0.89431439113685074"/>
        </c:manualLayout>
      </c:layout>
      <c:barChart>
        <c:barDir val="bar"/>
        <c:grouping val="clustered"/>
        <c:varyColors val="0"/>
        <c:ser>
          <c:idx val="0"/>
          <c:order val="0"/>
          <c:tx>
            <c:strRef>
              <c:f>'profitmrg by hub pivot '!$B$2</c:f>
              <c:strCache>
                <c:ptCount val="1"/>
                <c:pt idx="0">
                  <c:v>Total</c:v>
                </c:pt>
              </c:strCache>
            </c:strRef>
          </c:tx>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invertIfNegative val="0"/>
          <c:dPt>
            <c:idx val="0"/>
            <c:invertIfNegative val="0"/>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extLst>
              <c:ext xmlns:c16="http://schemas.microsoft.com/office/drawing/2014/chart" uri="{C3380CC4-5D6E-409C-BE32-E72D297353CC}">
                <c16:uniqueId val="{00000005-D211-42DB-AC46-62F2952E3F2C}"/>
              </c:ext>
            </c:extLst>
          </c:dPt>
          <c:dLbls>
            <c:dLbl>
              <c:idx val="0"/>
              <c:layout>
                <c:manualLayout>
                  <c:x val="-4.1874988322263752E-2"/>
                  <c:y val="-9.1128559036636483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D211-42DB-AC46-62F2952E3F2C}"/>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'profitmrg by hub pivot '!$A$3:$A$8</c:f>
              <c:strCache>
                <c:ptCount val="5"/>
                <c:pt idx="0">
                  <c:v>West Coast Hub (Port)</c:v>
                </c:pt>
                <c:pt idx="1">
                  <c:v>Northern Logistics Node</c:v>
                </c:pt>
                <c:pt idx="2">
                  <c:v>East Gateway Hub</c:v>
                </c:pt>
                <c:pt idx="3">
                  <c:v>Tech &amp; R&amp;D Center</c:v>
                </c:pt>
                <c:pt idx="4">
                  <c:v>South Asia Mfg Hub</c:v>
                </c:pt>
              </c:strCache>
            </c:strRef>
          </c:cat>
          <c:val>
            <c:numRef>
              <c:f>'profitmrg by hub pivot '!$B$3:$B$8</c:f>
              <c:numCache>
                <c:formatCode>General</c:formatCode>
                <c:ptCount val="5"/>
                <c:pt idx="0">
                  <c:v>0.57039569727562889</c:v>
                </c:pt>
                <c:pt idx="1">
                  <c:v>0.32046110477998746</c:v>
                </c:pt>
                <c:pt idx="2">
                  <c:v>0.28855210770949685</c:v>
                </c:pt>
                <c:pt idx="3">
                  <c:v>0.19900888090055094</c:v>
                </c:pt>
                <c:pt idx="4">
                  <c:v>9.2568320233967105E-2</c:v>
                </c:pt>
              </c:numCache>
            </c:numRef>
          </c:val>
          <c:extLst>
            <c:ext xmlns:c16="http://schemas.microsoft.com/office/drawing/2014/chart" uri="{C3380CC4-5D6E-409C-BE32-E72D297353CC}">
              <c16:uniqueId val="{00000000-5DEA-45F9-B33E-F73FB650089A}"/>
            </c:ext>
          </c:extLst>
        </c:ser>
        <c:dLbls>
          <c:dLblPos val="outEnd"/>
          <c:showLegendKey val="0"/>
          <c:showVal val="1"/>
          <c:showCatName val="0"/>
          <c:showSerName val="0"/>
          <c:showPercent val="0"/>
          <c:showBubbleSize val="0"/>
        </c:dLbls>
        <c:gapWidth val="57"/>
        <c:axId val="787125344"/>
        <c:axId val="787112864"/>
      </c:barChart>
      <c:catAx>
        <c:axId val="787125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787112864"/>
        <c:crosses val="autoZero"/>
        <c:auto val="1"/>
        <c:lblAlgn val="r"/>
        <c:lblOffset val="100"/>
        <c:noMultiLvlLbl val="0"/>
      </c:catAx>
      <c:valAx>
        <c:axId val="787112864"/>
        <c:scaling>
          <c:orientation val="minMax"/>
        </c:scaling>
        <c:delete val="1"/>
        <c:axPos val="b"/>
        <c:numFmt formatCode="General" sourceLinked="1"/>
        <c:majorTickMark val="none"/>
        <c:minorTickMark val="none"/>
        <c:tickLblPos val="nextTo"/>
        <c:crossAx val="7871253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[supplychain_dataanalysis_dashboard.xlsx]operatinal &amp; quality pivots!PivotTable2</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gradFill flip="none" rotWithShape="1">
            <a:gsLst>
              <a:gs pos="0">
                <a:srgbClr val="F03636"/>
              </a:gs>
              <a:gs pos="23000">
                <a:srgbClr val="EB503B"/>
              </a:gs>
              <a:gs pos="69000">
                <a:srgbClr val="F70D01"/>
              </a:gs>
              <a:gs pos="97000">
                <a:srgbClr val="C00000"/>
              </a:gs>
            </a:gsLst>
            <a:path path="circle">
              <a:fillToRect l="50000" t="50000" r="50000" b="50000"/>
            </a:path>
            <a:tileRect/>
          </a:gradFill>
          <a:ln>
            <a:noFill/>
          </a:ln>
          <a:effectLst/>
        </c:spPr>
      </c:pivotFmt>
      <c:pivotFmt>
        <c:idx val="4"/>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pivotFmt>
      <c:pivotFmt>
        <c:idx val="5"/>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pivotFmt>
      <c:pivotFmt>
        <c:idx val="6"/>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pivotFmt>
      <c:pivotFmt>
        <c:idx val="7"/>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dLbl>
          <c:idx val="0"/>
          <c:layout>
            <c:manualLayout>
              <c:x val="7.0381310364078173E-2"/>
              <c:y val="0"/>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8"/>
        <c:spPr>
          <a:gradFill flip="none" rotWithShape="1">
            <a:gsLst>
              <a:gs pos="0">
                <a:srgbClr val="F03636"/>
              </a:gs>
              <a:gs pos="23000">
                <a:srgbClr val="EB503B"/>
              </a:gs>
              <a:gs pos="69000">
                <a:srgbClr val="C00000"/>
              </a:gs>
              <a:gs pos="97000">
                <a:srgbClr val="C00000"/>
              </a:gs>
            </a:gsLst>
            <a:path path="circle">
              <a:fillToRect l="50000" t="50000" r="50000" b="50000"/>
            </a:path>
            <a:tileRect/>
          </a:gradFill>
          <a:ln>
            <a:noFill/>
          </a:ln>
          <a:effectLst/>
        </c:spPr>
        <c:dLbl>
          <c:idx val="0"/>
          <c:layout>
            <c:manualLayout>
              <c:x val="0.10001554630684793"/>
              <c:y val="2.423873204329837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a:noFill/>
          </a:ln>
          <a:effectLst/>
        </c:spPr>
        <c:dLbl>
          <c:idx val="0"/>
          <c:layout>
            <c:manualLayout>
              <c:x val="3.3338515435615911E-2"/>
              <c:y val="-4.8477464086596781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a:noFill/>
          </a:ln>
          <a:effectLst/>
        </c:spPr>
        <c:dLbl>
          <c:idx val="0"/>
          <c:layout>
            <c:manualLayout>
              <c:x val="3.2114644825223637E-2"/>
              <c:y val="-1.4543239225979035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0882284772475602E-2"/>
          <c:y val="0.12119366021649196"/>
          <c:w val="0.91823543045504885"/>
          <c:h val="0.70332631746097174"/>
        </c:manualLayout>
      </c:layout>
      <c:barChart>
        <c:barDir val="col"/>
        <c:grouping val="clustered"/>
        <c:varyColors val="0"/>
        <c:ser>
          <c:idx val="0"/>
          <c:order val="0"/>
          <c:tx>
            <c:strRef>
              <c:f>'operatinal &amp; quality pivots'!$AI$25</c:f>
              <c:strCache>
                <c:ptCount val="1"/>
                <c:pt idx="0">
                  <c:v>Total</c:v>
                </c:pt>
              </c:strCache>
            </c:strRef>
          </c:tx>
          <c:spPr>
            <a:solidFill>
              <a:schemeClr val="accent1"/>
            </a:solidFill>
            <a:ln>
              <a:noFill/>
            </a:ln>
            <a:effectLst/>
          </c:spPr>
          <c:invertIfNegative val="0"/>
          <c:dPt>
            <c:idx val="0"/>
            <c:invertIfNegative val="0"/>
            <c:bubble3D val="0"/>
            <c:spPr>
              <a:gradFill flip="none" rotWithShape="1">
                <a:gsLst>
                  <a:gs pos="0">
                    <a:srgbClr val="F03636"/>
                  </a:gs>
                  <a:gs pos="23000">
                    <a:srgbClr val="EB503B"/>
                  </a:gs>
                  <a:gs pos="69000">
                    <a:srgbClr val="C00000"/>
                  </a:gs>
                  <a:gs pos="97000">
                    <a:srgbClr val="C00000"/>
                  </a:gs>
                </a:gsLst>
                <a:path path="circle">
                  <a:fillToRect l="50000" t="50000" r="50000" b="50000"/>
                </a:path>
                <a:tileRect/>
              </a:gradFill>
              <a:ln>
                <a:noFill/>
              </a:ln>
              <a:effectLst/>
            </c:spPr>
            <c:extLst>
              <c:ext xmlns:c16="http://schemas.microsoft.com/office/drawing/2014/chart" uri="{C3380CC4-5D6E-409C-BE32-E72D297353CC}">
                <c16:uniqueId val="{00000000-8C07-432D-B1A1-BC5B06A8BF24}"/>
              </c:ext>
            </c:extLst>
          </c:dPt>
          <c:dPt>
            <c:idx val="1"/>
            <c:invertIfNegative val="0"/>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extLst>
              <c:ext xmlns:c16="http://schemas.microsoft.com/office/drawing/2014/chart" uri="{C3380CC4-5D6E-409C-BE32-E72D297353CC}">
                <c16:uniqueId val="{00000001-8C07-432D-B1A1-BC5B06A8BF24}"/>
              </c:ext>
            </c:extLst>
          </c:dPt>
          <c:dPt>
            <c:idx val="2"/>
            <c:invertIfNegative val="0"/>
            <c:bubble3D val="0"/>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a:noFill/>
              </a:ln>
              <a:effectLst/>
            </c:spPr>
            <c:extLst>
              <c:ext xmlns:c16="http://schemas.microsoft.com/office/drawing/2014/chart" uri="{C3380CC4-5D6E-409C-BE32-E72D297353CC}">
                <c16:uniqueId val="{00000002-8C07-432D-B1A1-BC5B06A8BF24}"/>
              </c:ext>
            </c:extLst>
          </c:dPt>
          <c:dPt>
            <c:idx val="3"/>
            <c:invertIfNegative val="0"/>
            <c:bubble3D val="0"/>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a:noFill/>
              </a:ln>
              <a:effectLst/>
            </c:spPr>
            <c:extLst>
              <c:ext xmlns:c16="http://schemas.microsoft.com/office/drawing/2014/chart" uri="{C3380CC4-5D6E-409C-BE32-E72D297353CC}">
                <c16:uniqueId val="{00000003-8C07-432D-B1A1-BC5B06A8BF24}"/>
              </c:ext>
            </c:extLst>
          </c:dPt>
          <c:dLbls>
            <c:dLbl>
              <c:idx val="0"/>
              <c:layout>
                <c:manualLayout>
                  <c:x val="0.10001554630684793"/>
                  <c:y val="2.4238732043298371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8C07-432D-B1A1-BC5B06A8BF24}"/>
                </c:ext>
              </c:extLst>
            </c:dLbl>
            <c:dLbl>
              <c:idx val="1"/>
              <c:layout>
                <c:manualLayout>
                  <c:x val="7.0381310364078173E-2"/>
                  <c:y val="0"/>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01-8C07-432D-B1A1-BC5B06A8BF24}"/>
                </c:ext>
              </c:extLst>
            </c:dLbl>
            <c:dLbl>
              <c:idx val="2"/>
              <c:layout>
                <c:manualLayout>
                  <c:x val="3.3338515435615911E-2"/>
                  <c:y val="-4.8477464086596781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8C07-432D-B1A1-BC5B06A8BF24}"/>
                </c:ext>
              </c:extLst>
            </c:dLbl>
            <c:dLbl>
              <c:idx val="3"/>
              <c:layout>
                <c:manualLayout>
                  <c:x val="3.2114644825223637E-2"/>
                  <c:y val="-1.4543239225979035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8C07-432D-B1A1-BC5B06A8BF24}"/>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'operatinal &amp; quality pivots'!$AH$26:$AH$30</c:f>
              <c:strCache>
                <c:ptCount val="4"/>
                <c:pt idx="0">
                  <c:v>Road</c:v>
                </c:pt>
                <c:pt idx="1">
                  <c:v>Rail</c:v>
                </c:pt>
                <c:pt idx="2">
                  <c:v>Air</c:v>
                </c:pt>
                <c:pt idx="3">
                  <c:v>Sea</c:v>
                </c:pt>
              </c:strCache>
            </c:strRef>
          </c:cat>
          <c:val>
            <c:numRef>
              <c:f>'operatinal &amp; quality pivots'!$AI$26:$AI$30</c:f>
              <c:numCache>
                <c:formatCode>General</c:formatCode>
                <c:ptCount val="4"/>
                <c:pt idx="0">
                  <c:v>0.76007215650384374</c:v>
                </c:pt>
                <c:pt idx="1">
                  <c:v>0.64926789438414834</c:v>
                </c:pt>
                <c:pt idx="2">
                  <c:v>0.47422012188545604</c:v>
                </c:pt>
                <c:pt idx="3">
                  <c:v>0.39359781996615806</c:v>
                </c:pt>
              </c:numCache>
            </c:numRef>
          </c:val>
          <c:extLst>
            <c:ext xmlns:c16="http://schemas.microsoft.com/office/drawing/2014/chart" uri="{C3380CC4-5D6E-409C-BE32-E72D297353CC}">
              <c16:uniqueId val="{00000000-019C-4D0E-B455-F0B416CA3702}"/>
            </c:ext>
          </c:extLst>
        </c:ser>
        <c:dLbls>
          <c:dLblPos val="outEnd"/>
          <c:showLegendKey val="0"/>
          <c:showVal val="1"/>
          <c:showCatName val="0"/>
          <c:showSerName val="0"/>
          <c:showPercent val="0"/>
          <c:showBubbleSize val="0"/>
        </c:dLbls>
        <c:gapWidth val="82"/>
        <c:overlap val="-27"/>
        <c:axId val="1086261728"/>
        <c:axId val="1086256736"/>
      </c:barChart>
      <c:catAx>
        <c:axId val="108626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086256736"/>
        <c:crosses val="autoZero"/>
        <c:auto val="1"/>
        <c:lblAlgn val="ctr"/>
        <c:lblOffset val="100"/>
        <c:noMultiLvlLbl val="0"/>
      </c:catAx>
      <c:valAx>
        <c:axId val="1086256736"/>
        <c:scaling>
          <c:orientation val="minMax"/>
        </c:scaling>
        <c:delete val="1"/>
        <c:axPos val="l"/>
        <c:numFmt formatCode="General" sourceLinked="1"/>
        <c:majorTickMark val="none"/>
        <c:minorTickMark val="none"/>
        <c:tickLblPos val="nextTo"/>
        <c:crossAx val="1086261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[supplychain_dataanalysis_dashboard.xlsx]operatinal &amp; quality pivots!PivotTable3</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clip" horzOverflow="clip" vert="horz" wrap="none" lIns="38100" tIns="9144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dLbl>
          <c:idx val="0"/>
          <c:layout>
            <c:manualLayout>
              <c:x val="0.17777777777777767"/>
              <c:y val="-0.16203703703703703"/>
            </c:manualLayout>
          </c:layout>
          <c:spPr>
            <a:noFill/>
            <a:ln>
              <a:noFill/>
            </a:ln>
            <a:effectLst/>
          </c:spPr>
          <c:txPr>
            <a:bodyPr rot="0" spcFirstLastPara="1" vertOverflow="clip" horzOverflow="clip" vert="horz" wrap="none" lIns="38100" tIns="9144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a:noFill/>
          </a:ln>
          <a:effectLst/>
        </c:spPr>
        <c:dLbl>
          <c:idx val="0"/>
          <c:layout>
            <c:manualLayout>
              <c:x val="0.16388888888888889"/>
              <c:y val="0.12499999999999992"/>
            </c:manualLayout>
          </c:layout>
          <c:spPr>
            <a:noFill/>
            <a:ln>
              <a:noFill/>
            </a:ln>
            <a:effectLst/>
          </c:spPr>
          <c:txPr>
            <a:bodyPr rot="0" spcFirstLastPara="1" vertOverflow="clip" horzOverflow="clip" vert="horz" wrap="none" lIns="38100" tIns="9144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a:noFill/>
          </a:ln>
          <a:effectLst/>
        </c:spPr>
        <c:dLbl>
          <c:idx val="0"/>
          <c:layout>
            <c:manualLayout>
              <c:x val="-0.21944444444444447"/>
              <c:y val="9.7222222222222057E-2"/>
            </c:manualLayout>
          </c:layout>
          <c:spPr>
            <a:noFill/>
            <a:ln>
              <a:noFill/>
            </a:ln>
            <a:effectLst/>
          </c:spPr>
          <c:txPr>
            <a:bodyPr rot="0" spcFirstLastPara="1" vertOverflow="clip" horzOverflow="clip" vert="horz" wrap="none" lIns="38100" tIns="9144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solidFill>
          <a:ln>
            <a:noFill/>
          </a:ln>
          <a:effectLst/>
        </c:spPr>
        <c:dLbl>
          <c:idx val="0"/>
          <c:layout>
            <c:manualLayout>
              <c:x val="-0.13618649181254744"/>
              <c:y val="-6.5854343086697353E-2"/>
            </c:manualLayout>
          </c:layout>
          <c:spPr>
            <a:noFill/>
            <a:ln>
              <a:noFill/>
            </a:ln>
            <a:effectLst/>
          </c:spPr>
          <c:txPr>
            <a:bodyPr rot="0" spcFirstLastPara="1" vertOverflow="clip" horzOverflow="clip" vert="horz" wrap="none" lIns="38100" tIns="91440" rIns="38100" bIns="19050" anchor="b"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33081607238744"/>
                  <c:h val="0.23894519974841352"/>
                </c:manualLayout>
              </c15:layout>
            </c:ext>
          </c:extLst>
        </c:dLbl>
      </c:pivotFmt>
      <c:pivotFmt>
        <c:idx val="6"/>
        <c:spPr>
          <a:solidFill>
            <a:schemeClr val="accent5"/>
          </a:solidFill>
          <a:ln>
            <a:noFill/>
          </a:ln>
          <a:effectLst/>
        </c:spPr>
        <c:dLbl>
          <c:idx val="0"/>
          <c:layout>
            <c:manualLayout>
              <c:x val="-0.18888888888888888"/>
              <c:y val="-0.12962962962962962"/>
            </c:manualLayout>
          </c:layout>
          <c:spPr>
            <a:noFill/>
            <a:ln>
              <a:noFill/>
            </a:ln>
            <a:effectLst/>
          </c:spPr>
          <c:txPr>
            <a:bodyPr rot="0" spcFirstLastPara="1" vertOverflow="clip" horzOverflow="clip" vert="horz" wrap="none" lIns="38100" tIns="9144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marker>
          <c:symbol val="none"/>
        </c:marker>
        <c:dLbl>
          <c:idx val="0"/>
          <c:spPr>
            <a:noFill/>
            <a:ln>
              <a:noFill/>
            </a:ln>
            <a:effectLst/>
          </c:spPr>
          <c:txPr>
            <a:bodyPr rot="0" spcFirstLastPara="1" vertOverflow="clip" horzOverflow="clip" vert="horz" wrap="none" lIns="38100" tIns="9144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dLbl>
          <c:idx val="0"/>
          <c:layout>
            <c:manualLayout>
              <c:x val="0.17777777777777767"/>
              <c:y val="-0.16203703703703703"/>
            </c:manualLayout>
          </c:layout>
          <c:spPr>
            <a:noFill/>
            <a:ln>
              <a:noFill/>
            </a:ln>
            <a:effectLst/>
          </c:spPr>
          <c:txPr>
            <a:bodyPr rot="0" spcFirstLastPara="1" vertOverflow="clip" horzOverflow="clip" vert="horz" wrap="none" lIns="38100" tIns="9144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dLbl>
          <c:idx val="0"/>
          <c:layout>
            <c:manualLayout>
              <c:x val="0.16388888888888889"/>
              <c:y val="0.12499999999999992"/>
            </c:manualLayout>
          </c:layout>
          <c:spPr>
            <a:noFill/>
            <a:ln>
              <a:noFill/>
            </a:ln>
            <a:effectLst/>
          </c:spPr>
          <c:txPr>
            <a:bodyPr rot="0" spcFirstLastPara="1" vertOverflow="clip" horzOverflow="clip" vert="horz" wrap="none" lIns="38100" tIns="9144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dLbl>
          <c:idx val="0"/>
          <c:layout>
            <c:manualLayout>
              <c:x val="-0.21944444444444447"/>
              <c:y val="9.7222222222222057E-2"/>
            </c:manualLayout>
          </c:layout>
          <c:spPr>
            <a:noFill/>
            <a:ln>
              <a:noFill/>
            </a:ln>
            <a:effectLst/>
          </c:spPr>
          <c:txPr>
            <a:bodyPr rot="0" spcFirstLastPara="1" vertOverflow="clip" horzOverflow="clip" vert="horz" wrap="none" lIns="38100" tIns="9144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dLbl>
          <c:idx val="0"/>
          <c:layout>
            <c:manualLayout>
              <c:x val="-0.13618649181254744"/>
              <c:y val="-6.5854343086697353E-2"/>
            </c:manualLayout>
          </c:layout>
          <c:spPr>
            <a:noFill/>
            <a:ln>
              <a:noFill/>
            </a:ln>
            <a:effectLst/>
          </c:spPr>
          <c:txPr>
            <a:bodyPr rot="0" spcFirstLastPara="1" vertOverflow="clip" horzOverflow="clip" vert="horz" wrap="none" lIns="38100" tIns="91440" rIns="38100" bIns="19050" anchor="b"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33081607238744"/>
                  <c:h val="0.23894519974841352"/>
                </c:manualLayout>
              </c15:layout>
            </c:ext>
          </c:extLst>
        </c:dLbl>
      </c:pivotFmt>
      <c:pivotFmt>
        <c:idx val="12"/>
        <c:spPr>
          <a:solidFill>
            <a:schemeClr val="accent1"/>
          </a:solidFill>
          <a:ln>
            <a:noFill/>
          </a:ln>
          <a:effectLst/>
        </c:spPr>
        <c:dLbl>
          <c:idx val="0"/>
          <c:layout>
            <c:manualLayout>
              <c:x val="-0.18888888888888888"/>
              <c:y val="-0.12962962962962962"/>
            </c:manualLayout>
          </c:layout>
          <c:spPr>
            <a:noFill/>
            <a:ln>
              <a:noFill/>
            </a:ln>
            <a:effectLst/>
          </c:spPr>
          <c:txPr>
            <a:bodyPr rot="0" spcFirstLastPara="1" vertOverflow="clip" horzOverflow="clip" vert="horz" wrap="none" lIns="38100" tIns="9144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a:gsLst>
              <a:gs pos="0">
                <a:srgbClr val="F03636"/>
              </a:gs>
              <a:gs pos="23000">
                <a:srgbClr val="EB503B"/>
              </a:gs>
              <a:gs pos="69000">
                <a:srgbClr val="C00000"/>
              </a:gs>
              <a:gs pos="97000">
                <a:srgbClr val="C00000"/>
              </a:gs>
            </a:gsLst>
            <a:path path="circle">
              <a:fillToRect l="50000" t="50000" r="50000" b="50000"/>
            </a:path>
          </a:gradFill>
          <a:ln>
            <a:noFill/>
          </a:ln>
          <a:effectLst/>
        </c:spPr>
        <c:marker>
          <c:symbol val="none"/>
        </c:marker>
        <c:dLbl>
          <c:idx val="0"/>
          <c:spPr>
            <a:noFill/>
            <a:ln>
              <a:noFill/>
            </a:ln>
            <a:effectLst/>
          </c:spPr>
          <c:txPr>
            <a:bodyPr rot="0" spcFirstLastPara="1" vertOverflow="clip" horzOverflow="clip" vert="horz" wrap="none" lIns="38100" tIns="91440" rIns="38100" bIns="19050" anchor="b"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a:gsLst>
              <a:gs pos="0">
                <a:srgbClr val="F03636"/>
              </a:gs>
              <a:gs pos="23000">
                <a:srgbClr val="EB503B"/>
              </a:gs>
              <a:gs pos="69000">
                <a:srgbClr val="C00000"/>
              </a:gs>
              <a:gs pos="97000">
                <a:srgbClr val="C00000"/>
              </a:gs>
            </a:gsLst>
            <a:path path="circle">
              <a:fillToRect l="50000" t="50000" r="50000" b="50000"/>
            </a:path>
          </a:gradFill>
          <a:ln>
            <a:noFill/>
          </a:ln>
          <a:effectLst/>
        </c:spPr>
        <c:dLbl>
          <c:idx val="0"/>
          <c:layout>
            <c:manualLayout>
              <c:x val="0.12411210652925145"/>
              <c:y val="-0.12750498462370316"/>
            </c:manualLayout>
          </c:layout>
          <c:tx>
            <c:rich>
              <a:bodyPr rot="0" spcFirstLastPara="1" vertOverflow="clip" horzOverflow="clip" vert="horz" wrap="none" lIns="38100" tIns="91440" rIns="38100" bIns="19050" anchor="b" anchorCtr="1">
                <a:spAutoFit/>
              </a:bodyPr>
              <a:lstStyle/>
              <a:p>
                <a:pPr>
                  <a:defRPr sz="1050" b="0" i="0" u="none" strike="noStrike" kern="1200" baseline="0">
                    <a:solidFill>
                      <a:schemeClr val="tx1"/>
                    </a:solidFill>
                    <a:latin typeface="+mn-lt"/>
                    <a:ea typeface="+mn-ea"/>
                    <a:cs typeface="+mn-cs"/>
                  </a:defRPr>
                </a:pPr>
                <a:fld id="{7867111B-D879-49BB-8F61-552BEDF0C1B9}" type="CATEGORYNAME">
                  <a:rPr lang="en-US">
                    <a:solidFill>
                      <a:schemeClr val="tx1"/>
                    </a:solidFill>
                  </a:rPr>
                  <a:pPr>
                    <a:defRPr sz="1050" b="0" i="0" u="none" strike="noStrike" kern="1200" baseline="0">
                      <a:solidFill>
                        <a:schemeClr val="tx1"/>
                      </a:solidFill>
                      <a:latin typeface="+mn-lt"/>
                      <a:ea typeface="+mn-ea"/>
                      <a:cs typeface="+mn-cs"/>
                    </a:defRPr>
                  </a:pPr>
                  <a:t>[CATEGORY NAME]</a:t>
                </a:fld>
                <a:r>
                  <a:rPr lang="en-US" baseline="0">
                    <a:solidFill>
                      <a:schemeClr val="tx1"/>
                    </a:solidFill>
                  </a:rPr>
                  <a:t>
</a:t>
                </a:r>
                <a:fld id="{79705E51-E5A0-438C-8BB8-FC06EF21430F}" type="PERCENTAGE">
                  <a:rPr lang="en-US" sz="1400" b="1" baseline="0">
                    <a:solidFill>
                      <a:schemeClr val="tx1"/>
                    </a:solidFill>
                  </a:rPr>
                  <a:pPr>
                    <a:defRPr sz="1050" b="0" i="0" u="none" strike="noStrike" kern="1200" baseline="0">
                      <a:solidFill>
                        <a:schemeClr val="tx1"/>
                      </a:solidFill>
                      <a:latin typeface="+mn-lt"/>
                      <a:ea typeface="+mn-ea"/>
                      <a:cs typeface="+mn-cs"/>
                    </a:defRPr>
                  </a:pPr>
                  <a:t>[PERCENTAGE]</a:t>
                </a:fld>
                <a:endParaRPr lang="en-US" baseline="0">
                  <a:solidFill>
                    <a:schemeClr val="tx1"/>
                  </a:solidFill>
                </a:endParaRPr>
              </a:p>
            </c:rich>
          </c:tx>
          <c:spPr>
            <a:noFill/>
            <a:ln>
              <a:noFill/>
            </a:ln>
            <a:effectLst/>
          </c:spPr>
          <c:txPr>
            <a:bodyPr rot="0" spcFirstLastPara="1" vertOverflow="clip" horzOverflow="clip" vert="horz" wrap="none" lIns="38100" tIns="91440" rIns="38100" bIns="19050" anchor="b"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5"/>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dLbl>
          <c:idx val="0"/>
          <c:layout>
            <c:manualLayout>
              <c:x val="0.10105903951904664"/>
              <c:y val="-2.5461298616347015E-2"/>
            </c:manualLayout>
          </c:layout>
          <c:tx>
            <c:rich>
              <a:bodyPr rot="0" spcFirstLastPara="1" vertOverflow="clip" horzOverflow="clip" vert="horz" wrap="none" lIns="38100" tIns="91440" rIns="38100" bIns="19050" anchor="b" anchorCtr="1">
                <a:spAutoFit/>
              </a:bodyPr>
              <a:lstStyle/>
              <a:p>
                <a:pPr>
                  <a:defRPr sz="1050" b="0" i="0" u="none" strike="noStrike" kern="1200" baseline="0">
                    <a:solidFill>
                      <a:schemeClr val="tx1"/>
                    </a:solidFill>
                    <a:latin typeface="+mn-lt"/>
                    <a:ea typeface="+mn-ea"/>
                    <a:cs typeface="+mn-cs"/>
                  </a:defRPr>
                </a:pPr>
                <a:fld id="{6E9536A1-5E71-4880-A91A-C065A1231200}" type="CATEGORYNAME">
                  <a:rPr lang="en-US" sz="1050">
                    <a:solidFill>
                      <a:schemeClr val="tx1"/>
                    </a:solidFill>
                  </a:rPr>
                  <a:pPr>
                    <a:defRPr sz="1050" b="0" i="0" u="none" strike="noStrike" kern="1200" baseline="0">
                      <a:solidFill>
                        <a:schemeClr val="tx1"/>
                      </a:solidFill>
                      <a:latin typeface="+mn-lt"/>
                      <a:ea typeface="+mn-ea"/>
                      <a:cs typeface="+mn-cs"/>
                    </a:defRPr>
                  </a:pPr>
                  <a:t>[CATEGORY NAME]</a:t>
                </a:fld>
                <a:r>
                  <a:rPr lang="en-US" sz="1050" baseline="0">
                    <a:solidFill>
                      <a:schemeClr val="tx1"/>
                    </a:solidFill>
                  </a:rPr>
                  <a:t>
</a:t>
                </a:r>
                <a:fld id="{E9825C93-68BF-4774-90EA-57B1840BF4B5}" type="PERCENTAGE">
                  <a:rPr lang="en-US" sz="1400" b="1" baseline="0">
                    <a:solidFill>
                      <a:schemeClr val="tx1"/>
                    </a:solidFill>
                  </a:rPr>
                  <a:pPr>
                    <a:defRPr sz="1050" b="0" i="0" u="none" strike="noStrike" kern="1200" baseline="0">
                      <a:solidFill>
                        <a:schemeClr val="tx1"/>
                      </a:solidFill>
                      <a:latin typeface="+mn-lt"/>
                      <a:ea typeface="+mn-ea"/>
                      <a:cs typeface="+mn-cs"/>
                    </a:defRPr>
                  </a:pPr>
                  <a:t>[PERCENTAGE]</a:t>
                </a:fld>
                <a:endParaRPr lang="en-US" sz="1050" baseline="0">
                  <a:solidFill>
                    <a:schemeClr val="tx1"/>
                  </a:solidFill>
                </a:endParaRPr>
              </a:p>
            </c:rich>
          </c:tx>
          <c:spPr>
            <a:noFill/>
            <a:ln>
              <a:noFill/>
            </a:ln>
            <a:effectLst/>
          </c:spPr>
          <c:txPr>
            <a:bodyPr rot="0" spcFirstLastPara="1" vertOverflow="clip" horzOverflow="clip" vert="horz" wrap="none" lIns="38100" tIns="91440" rIns="38100" bIns="19050" anchor="b"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644355816879378"/>
                  <c:h val="0.24385093790166862"/>
                </c:manualLayout>
              </c15:layout>
              <c15:dlblFieldTable/>
              <c15:showDataLabelsRange val="0"/>
            </c:ext>
          </c:extLst>
        </c:dLbl>
      </c:pivotFmt>
      <c:pivotFmt>
        <c:idx val="16"/>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dLbl>
          <c:idx val="0"/>
          <c:layout>
            <c:manualLayout>
              <c:x val="-0.2212846109669078"/>
              <c:y val="6.3042234416568782E-2"/>
            </c:manualLayout>
          </c:layout>
          <c:tx>
            <c:rich>
              <a:bodyPr rot="0" spcFirstLastPara="1" vertOverflow="clip" horzOverflow="clip" vert="horz" wrap="none" lIns="38100" tIns="91440" rIns="38100" bIns="19050" anchor="b" anchorCtr="1">
                <a:spAutoFit/>
              </a:bodyPr>
              <a:lstStyle/>
              <a:p>
                <a:pPr>
                  <a:defRPr sz="1400" b="0" i="0" u="none" strike="noStrike" kern="1200" baseline="0">
                    <a:solidFill>
                      <a:schemeClr val="tx1"/>
                    </a:solidFill>
                    <a:latin typeface="+mn-lt"/>
                    <a:ea typeface="+mn-ea"/>
                    <a:cs typeface="+mn-cs"/>
                  </a:defRPr>
                </a:pPr>
                <a:fld id="{92123C86-4A5E-40FA-B1E3-752CBF40063C}" type="CATEGORYNAME">
                  <a:rPr lang="en-US">
                    <a:solidFill>
                      <a:schemeClr val="tx1"/>
                    </a:solidFill>
                  </a:rPr>
                  <a:pPr>
                    <a:defRPr sz="1400" b="0" i="0" u="none" strike="noStrike" kern="1200" baseline="0">
                      <a:solidFill>
                        <a:schemeClr val="tx1"/>
                      </a:solidFill>
                      <a:latin typeface="+mn-lt"/>
                      <a:ea typeface="+mn-ea"/>
                      <a:cs typeface="+mn-cs"/>
                    </a:defRPr>
                  </a:pPr>
                  <a:t>[CATEGORY NAME]</a:t>
                </a:fld>
                <a:r>
                  <a:rPr lang="en-US" baseline="0">
                    <a:solidFill>
                      <a:schemeClr val="tx1"/>
                    </a:solidFill>
                  </a:rPr>
                  <a:t>
</a:t>
                </a:r>
                <a:fld id="{3719B366-096D-420F-891A-1FDA6FF7AFFF}" type="PERCENTAGE">
                  <a:rPr lang="en-US" sz="1400" b="1" baseline="0">
                    <a:solidFill>
                      <a:schemeClr val="tx1"/>
                    </a:solidFill>
                  </a:rPr>
                  <a:pPr>
                    <a:defRPr sz="1400" b="0" i="0" u="none" strike="noStrike" kern="1200" baseline="0">
                      <a:solidFill>
                        <a:schemeClr val="tx1"/>
                      </a:solidFill>
                      <a:latin typeface="+mn-lt"/>
                      <a:ea typeface="+mn-ea"/>
                      <a:cs typeface="+mn-cs"/>
                    </a:defRPr>
                  </a:pPr>
                  <a:t>[PERCENTAGE]</a:t>
                </a:fld>
                <a:endParaRPr lang="en-US" baseline="0">
                  <a:solidFill>
                    <a:schemeClr val="tx1"/>
                  </a:solidFill>
                </a:endParaRPr>
              </a:p>
            </c:rich>
          </c:tx>
          <c:spPr>
            <a:noFill/>
            <a:ln>
              <a:noFill/>
            </a:ln>
            <a:effectLst/>
          </c:spPr>
          <c:txPr>
            <a:bodyPr rot="0" spcFirstLastPara="1" vertOverflow="clip" horzOverflow="clip" vert="horz" wrap="none" lIns="38100" tIns="91440" rIns="38100" bIns="19050" anchor="b"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7801368009351092"/>
                  <c:h val="0.29881988815331784"/>
                </c:manualLayout>
              </c15:layout>
              <c15:dlblFieldTable/>
              <c15:showDataLabelsRange val="0"/>
            </c:ext>
          </c:extLst>
        </c:dLbl>
      </c:pivotFmt>
      <c:pivotFmt>
        <c:idx val="17"/>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c:spPr>
        <c:dLbl>
          <c:idx val="0"/>
          <c:layout>
            <c:manualLayout>
              <c:x val="-8.235800513800344E-2"/>
              <c:y val="-2.6389081489129385E-2"/>
            </c:manualLayout>
          </c:layout>
          <c:tx>
            <c:rich>
              <a:bodyPr rot="0" spcFirstLastPara="1" vertOverflow="clip" horzOverflow="clip" vert="horz" wrap="none" lIns="38100" tIns="91440" rIns="38100" bIns="19050" anchor="b" anchorCtr="1">
                <a:noAutofit/>
              </a:bodyPr>
              <a:lstStyle/>
              <a:p>
                <a:pPr>
                  <a:defRPr sz="1050" b="0" i="0" u="none" strike="noStrike" kern="1200" baseline="0">
                    <a:solidFill>
                      <a:schemeClr val="tx1"/>
                    </a:solidFill>
                    <a:latin typeface="+mn-lt"/>
                    <a:ea typeface="+mn-ea"/>
                    <a:cs typeface="+mn-cs"/>
                  </a:defRPr>
                </a:pPr>
                <a:fld id="{F6CC528A-3E1F-43C1-9B00-A97D87596827}" type="CATEGORYNAME">
                  <a:rPr lang="en-US" sz="1050">
                    <a:solidFill>
                      <a:schemeClr val="tx1"/>
                    </a:solidFill>
                  </a:rPr>
                  <a:pPr>
                    <a:defRPr sz="1050" b="0" i="0" u="none" strike="noStrike" kern="1200" baseline="0">
                      <a:solidFill>
                        <a:schemeClr val="tx1"/>
                      </a:solidFill>
                      <a:latin typeface="+mn-lt"/>
                      <a:ea typeface="+mn-ea"/>
                      <a:cs typeface="+mn-cs"/>
                    </a:defRPr>
                  </a:pPr>
                  <a:t>[CATEGORY NAME]</a:t>
                </a:fld>
                <a:r>
                  <a:rPr lang="en-US" sz="1050" baseline="0">
                    <a:solidFill>
                      <a:schemeClr val="tx1"/>
                    </a:solidFill>
                  </a:rPr>
                  <a:t>
</a:t>
                </a:r>
                <a:fld id="{64900808-0D9F-4AE8-9C14-A9A7B6691257}" type="PERCENTAGE">
                  <a:rPr lang="en-US" sz="1400" b="1" baseline="0">
                    <a:solidFill>
                      <a:schemeClr val="tx1"/>
                    </a:solidFill>
                  </a:rPr>
                  <a:pPr>
                    <a:defRPr sz="1050" b="0" i="0" u="none" strike="noStrike" kern="1200" baseline="0">
                      <a:solidFill>
                        <a:schemeClr val="tx1"/>
                      </a:solidFill>
                      <a:latin typeface="+mn-lt"/>
                      <a:ea typeface="+mn-ea"/>
                      <a:cs typeface="+mn-cs"/>
                    </a:defRPr>
                  </a:pPr>
                  <a:t>[PERCENTAGE]</a:t>
                </a:fld>
                <a:endParaRPr lang="en-US" sz="1050" baseline="0">
                  <a:solidFill>
                    <a:schemeClr val="tx1"/>
                  </a:solidFill>
                </a:endParaRPr>
              </a:p>
            </c:rich>
          </c:tx>
          <c:spPr>
            <a:noFill/>
            <a:ln>
              <a:noFill/>
            </a:ln>
            <a:effectLst/>
          </c:spPr>
          <c:txPr>
            <a:bodyPr rot="0" spcFirstLastPara="1" vertOverflow="clip" horzOverflow="clip" vert="horz" wrap="none" lIns="38100" tIns="91440" rIns="38100" bIns="19050" anchor="b" anchorCtr="1">
              <a:no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185073595843235"/>
                  <c:h val="0.23894536122158916"/>
                </c:manualLayout>
              </c15:layout>
              <c15:dlblFieldTable/>
              <c15:showDataLabelsRange val="0"/>
            </c:ext>
          </c:extLst>
        </c:dLbl>
      </c:pivotFmt>
      <c:pivotFmt>
        <c:idx val="18"/>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dLbl>
          <c:idx val="0"/>
          <c:layout>
            <c:manualLayout>
              <c:x val="-0.17036167116662118"/>
              <c:y val="-7.5365024391930283E-2"/>
            </c:manualLayout>
          </c:layout>
          <c:tx>
            <c:rich>
              <a:bodyPr rot="0" spcFirstLastPara="1" vertOverflow="clip" horzOverflow="clip" vert="horz" wrap="none" lIns="38100" tIns="91440" rIns="38100" bIns="19050" anchor="b" anchorCtr="1">
                <a:spAutoFit/>
              </a:bodyPr>
              <a:lstStyle/>
              <a:p>
                <a:pPr>
                  <a:defRPr sz="1050" b="0" i="0" u="none" strike="noStrike" kern="1200" baseline="0">
                    <a:solidFill>
                      <a:schemeClr val="tx1"/>
                    </a:solidFill>
                    <a:latin typeface="+mn-lt"/>
                    <a:ea typeface="+mn-ea"/>
                    <a:cs typeface="+mn-cs"/>
                  </a:defRPr>
                </a:pPr>
                <a:fld id="{DCC5C17D-F526-4DA6-847C-4CD0A2EEC84B}" type="CATEGORYNAME">
                  <a:rPr lang="en-US">
                    <a:solidFill>
                      <a:schemeClr val="tx1"/>
                    </a:solidFill>
                  </a:rPr>
                  <a:pPr>
                    <a:defRPr sz="1050" b="0" i="0" u="none" strike="noStrike" kern="1200" baseline="0">
                      <a:solidFill>
                        <a:schemeClr val="tx1"/>
                      </a:solidFill>
                      <a:latin typeface="+mn-lt"/>
                      <a:ea typeface="+mn-ea"/>
                      <a:cs typeface="+mn-cs"/>
                    </a:defRPr>
                  </a:pPr>
                  <a:t>[CATEGORY NAME]</a:t>
                </a:fld>
                <a:r>
                  <a:rPr lang="en-US" baseline="0">
                    <a:solidFill>
                      <a:schemeClr val="tx1"/>
                    </a:solidFill>
                  </a:rPr>
                  <a:t>
</a:t>
                </a:r>
                <a:fld id="{A7FD921B-215D-49D6-BB5E-3B5FDD13DED7}" type="PERCENTAGE">
                  <a:rPr lang="en-US" sz="1400" b="1" baseline="0">
                    <a:solidFill>
                      <a:schemeClr val="tx1"/>
                    </a:solidFill>
                  </a:rPr>
                  <a:pPr>
                    <a:defRPr sz="1050" b="0" i="0" u="none" strike="noStrike" kern="1200" baseline="0">
                      <a:solidFill>
                        <a:schemeClr val="tx1"/>
                      </a:solidFill>
                      <a:latin typeface="+mn-lt"/>
                      <a:ea typeface="+mn-ea"/>
                      <a:cs typeface="+mn-cs"/>
                    </a:defRPr>
                  </a:pPr>
                  <a:t>[PERCENTAGE]</a:t>
                </a:fld>
                <a:endParaRPr lang="en-US" baseline="0">
                  <a:solidFill>
                    <a:schemeClr val="tx1"/>
                  </a:solidFill>
                </a:endParaRPr>
              </a:p>
            </c:rich>
          </c:tx>
          <c:spPr>
            <a:noFill/>
            <a:ln>
              <a:noFill/>
            </a:ln>
            <a:effectLst/>
          </c:spPr>
          <c:txPr>
            <a:bodyPr rot="0" spcFirstLastPara="1" vertOverflow="clip" horzOverflow="clip" vert="horz" wrap="none" lIns="38100" tIns="91440" rIns="38100" bIns="19050" anchor="b"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0">
                <a:srgbClr val="F03636"/>
              </a:gs>
              <a:gs pos="23000">
                <a:srgbClr val="EB503B"/>
              </a:gs>
              <a:gs pos="69000">
                <a:srgbClr val="C00000"/>
              </a:gs>
              <a:gs pos="97000">
                <a:srgbClr val="C00000"/>
              </a:gs>
            </a:gsLst>
            <a:path path="circle">
              <a:fillToRect l="50000" t="50000" r="50000" b="50000"/>
            </a:path>
          </a:gradFill>
          <a:ln>
            <a:noFill/>
          </a:ln>
          <a:effectLst/>
        </c:spPr>
        <c:dLbl>
          <c:idx val="0"/>
          <c:layout>
            <c:manualLayout>
              <c:x val="-7.0440248781647157E-3"/>
              <c:y val="-9.2507611846801563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933318598194679"/>
                  <c:h val="0.14436056269777192"/>
                </c:manualLayout>
              </c15:layout>
            </c:ext>
          </c:extLst>
        </c:dLbl>
      </c:pivotFmt>
      <c:pivotFmt>
        <c:idx val="21"/>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dLbl>
          <c:idx val="0"/>
          <c:layout>
            <c:manualLayout>
              <c:x val="0"/>
              <c:y val="-5.842586011376945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dLbl>
          <c:idx val="0"/>
          <c:layout>
            <c:manualLayout>
              <c:x val="0"/>
              <c:y val="-3.408175173303215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dLbl>
          <c:idx val="0"/>
          <c:layout>
            <c:manualLayout>
              <c:x val="-1.0566037317247203E-2"/>
              <c:y val="-5.355703843762196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dLbl>
          <c:idx val="0"/>
          <c:layout>
            <c:manualLayout>
              <c:x val="0"/>
              <c:y val="-4.868821676147450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'operatinal &amp; quality pivots'!$AJ$2</c:f>
              <c:strCache>
                <c:ptCount val="1"/>
                <c:pt idx="0">
                  <c:v>Total</c:v>
                </c:pt>
              </c:strCache>
            </c:strRef>
          </c:tx>
          <c:spPr>
            <a:solidFill>
              <a:schemeClr val="accent1"/>
            </a:solidFill>
            <a:ln>
              <a:noFill/>
            </a:ln>
            <a:effectLst/>
          </c:spPr>
          <c:invertIfNegative val="0"/>
          <c:dPt>
            <c:idx val="0"/>
            <c:invertIfNegative val="0"/>
            <c:bubble3D val="0"/>
            <c:spPr>
              <a:gradFill>
                <a:gsLst>
                  <a:gs pos="0">
                    <a:srgbClr val="F03636"/>
                  </a:gs>
                  <a:gs pos="23000">
                    <a:srgbClr val="EB503B"/>
                  </a:gs>
                  <a:gs pos="69000">
                    <a:srgbClr val="C00000"/>
                  </a:gs>
                  <a:gs pos="97000">
                    <a:srgbClr val="C00000"/>
                  </a:gs>
                </a:gsLst>
                <a:path path="circle">
                  <a:fillToRect l="50000" t="50000" r="50000" b="50000"/>
                </a:path>
              </a:gradFill>
              <a:ln>
                <a:noFill/>
              </a:ln>
              <a:effectLst/>
            </c:spPr>
            <c:extLst>
              <c:ext xmlns:c16="http://schemas.microsoft.com/office/drawing/2014/chart" uri="{C3380CC4-5D6E-409C-BE32-E72D297353CC}">
                <c16:uniqueId val="{00000001-479A-4DEB-8EC8-6BE04E0CE72B}"/>
              </c:ext>
            </c:extLst>
          </c:dPt>
          <c:dPt>
            <c:idx val="1"/>
            <c:invertIfNegative val="0"/>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extLst>
              <c:ext xmlns:c16="http://schemas.microsoft.com/office/drawing/2014/chart" uri="{C3380CC4-5D6E-409C-BE32-E72D297353CC}">
                <c16:uniqueId val="{00000003-479A-4DEB-8EC8-6BE04E0CE72B}"/>
              </c:ext>
            </c:extLst>
          </c:dPt>
          <c:dPt>
            <c:idx val="2"/>
            <c:invertIfNegative val="0"/>
            <c:bubble3D val="0"/>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extLst>
              <c:ext xmlns:c16="http://schemas.microsoft.com/office/drawing/2014/chart" uri="{C3380CC4-5D6E-409C-BE32-E72D297353CC}">
                <c16:uniqueId val="{00000005-479A-4DEB-8EC8-6BE04E0CE72B}"/>
              </c:ext>
            </c:extLst>
          </c:dPt>
          <c:dPt>
            <c:idx val="3"/>
            <c:invertIfNegative val="0"/>
            <c:bubble3D val="0"/>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extLst>
              <c:ext xmlns:c16="http://schemas.microsoft.com/office/drawing/2014/chart" uri="{C3380CC4-5D6E-409C-BE32-E72D297353CC}">
                <c16:uniqueId val="{00000007-479A-4DEB-8EC8-6BE04E0CE72B}"/>
              </c:ext>
            </c:extLst>
          </c:dPt>
          <c:dPt>
            <c:idx val="4"/>
            <c:invertIfNegative val="0"/>
            <c:bubble3D val="0"/>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extLst>
              <c:ext xmlns:c16="http://schemas.microsoft.com/office/drawing/2014/chart" uri="{C3380CC4-5D6E-409C-BE32-E72D297353CC}">
                <c16:uniqueId val="{00000009-479A-4DEB-8EC8-6BE04E0CE72B}"/>
              </c:ext>
            </c:extLst>
          </c:dPt>
          <c:dLbls>
            <c:dLbl>
              <c:idx val="0"/>
              <c:layout>
                <c:manualLayout>
                  <c:x val="-7.0440248781647157E-3"/>
                  <c:y val="-9.2507611846801563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933318598194679"/>
                      <c:h val="0.14436056269777192"/>
                    </c:manualLayout>
                  </c15:layout>
                </c:ext>
                <c:ext xmlns:c16="http://schemas.microsoft.com/office/drawing/2014/chart" uri="{C3380CC4-5D6E-409C-BE32-E72D297353CC}">
                  <c16:uniqueId val="{00000001-479A-4DEB-8EC8-6BE04E0CE72B}"/>
                </c:ext>
              </c:extLst>
            </c:dLbl>
            <c:dLbl>
              <c:idx val="1"/>
              <c:layout>
                <c:manualLayout>
                  <c:x val="-1.0566037317247203E-2"/>
                  <c:y val="-5.3557038437621961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479A-4DEB-8EC8-6BE04E0CE72B}"/>
                </c:ext>
              </c:extLst>
            </c:dLbl>
            <c:dLbl>
              <c:idx val="2"/>
              <c:layout>
                <c:manualLayout>
                  <c:x val="0"/>
                  <c:y val="-4.8688216761474508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479A-4DEB-8EC8-6BE04E0CE72B}"/>
                </c:ext>
              </c:extLst>
            </c:dLbl>
            <c:dLbl>
              <c:idx val="3"/>
              <c:layout>
                <c:manualLayout>
                  <c:x val="0"/>
                  <c:y val="-5.8425860113769455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479A-4DEB-8EC8-6BE04E0CE72B}"/>
                </c:ext>
              </c:extLst>
            </c:dLbl>
            <c:dLbl>
              <c:idx val="4"/>
              <c:layout>
                <c:manualLayout>
                  <c:x val="0"/>
                  <c:y val="-3.4081751733032156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479A-4DEB-8EC8-6BE04E0CE72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'operatinal &amp; quality pivots'!$AI$3:$AI$8</c:f>
              <c:strCache>
                <c:ptCount val="5"/>
                <c:pt idx="0">
                  <c:v>Apex Manufacturing Corp</c:v>
                </c:pt>
                <c:pt idx="1">
                  <c:v>Precision Tech Solutions</c:v>
                </c:pt>
                <c:pt idx="2">
                  <c:v>Titan Industrial Group</c:v>
                </c:pt>
                <c:pt idx="3">
                  <c:v>Elite Quality Parts</c:v>
                </c:pt>
                <c:pt idx="4">
                  <c:v>Global Source Logistics</c:v>
                </c:pt>
              </c:strCache>
            </c:strRef>
          </c:cat>
          <c:val>
            <c:numRef>
              <c:f>'operatinal &amp; quality pivots'!$AJ$3:$AJ$8</c:f>
              <c:numCache>
                <c:formatCode>0.00%</c:formatCode>
                <c:ptCount val="5"/>
                <c:pt idx="0">
                  <c:v>0.26803917014342316</c:v>
                </c:pt>
                <c:pt idx="1">
                  <c:v>0.20454236831076189</c:v>
                </c:pt>
                <c:pt idx="2">
                  <c:v>0.18553287184999248</c:v>
                </c:pt>
                <c:pt idx="3">
                  <c:v>0.18035994630022445</c:v>
                </c:pt>
                <c:pt idx="4">
                  <c:v>0.16152564339559805</c:v>
                </c:pt>
              </c:numCache>
            </c:numRef>
          </c:val>
          <c:extLst>
            <c:ext xmlns:c16="http://schemas.microsoft.com/office/drawing/2014/chart" uri="{C3380CC4-5D6E-409C-BE32-E72D297353CC}">
              <c16:uniqueId val="{0000000A-479A-4DEB-8EC8-6BE04E0CE72B}"/>
            </c:ext>
          </c:extLst>
        </c:ser>
        <c:dLbls>
          <c:dLblPos val="outEnd"/>
          <c:showLegendKey val="0"/>
          <c:showVal val="1"/>
          <c:showCatName val="0"/>
          <c:showSerName val="0"/>
          <c:showPercent val="0"/>
          <c:showBubbleSize val="0"/>
        </c:dLbls>
        <c:gapWidth val="81"/>
        <c:axId val="1902009967"/>
        <c:axId val="1902006223"/>
      </c:barChart>
      <c:valAx>
        <c:axId val="1902006223"/>
        <c:scaling>
          <c:orientation val="minMax"/>
        </c:scaling>
        <c:delete val="1"/>
        <c:axPos val="b"/>
        <c:numFmt formatCode="0.00%" sourceLinked="1"/>
        <c:majorTickMark val="out"/>
        <c:minorTickMark val="none"/>
        <c:tickLblPos val="nextTo"/>
        <c:crossAx val="1902009967"/>
        <c:crosses val="autoZero"/>
        <c:crossBetween val="between"/>
      </c:valAx>
      <c:catAx>
        <c:axId val="19020099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902006223"/>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[supplychain_dataanalysis_dashboard.xlsx]operatinal &amp; quality pivots!PivotTable4</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D164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pivotFmt>
      <c:pivotFmt>
        <c:idx val="4"/>
      </c:pivotFmt>
      <c:pivotFmt>
        <c:idx val="5"/>
      </c:pivotFmt>
      <c:pivotFmt>
        <c:idx val="6"/>
      </c:pivotFmt>
      <c:pivotFmt>
        <c:idx val="7"/>
      </c:pivotFmt>
      <c:pivotFmt>
        <c:idx val="8"/>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dLbl>
          <c:idx val="0"/>
          <c:layout>
            <c:manualLayout>
              <c:x val="0.11409562214199451"/>
              <c:y val="2.8055189934004025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gradFill>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gradFill>
          <a:ln>
            <a:noFill/>
          </a:ln>
          <a:effectLst/>
        </c:spPr>
        <c:dLbl>
          <c:idx val="0"/>
          <c:layout>
            <c:manualLayout>
              <c:x val="9.5467765465750462E-2"/>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dLbl>
          <c:idx val="0"/>
          <c:layout>
            <c:manualLayout>
              <c:x val="9.7796247550280921E-2"/>
              <c:y val="-9.3517299780013653E-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a:noFill/>
          </a:ln>
          <a:effectLst/>
        </c:spPr>
        <c:dLbl>
          <c:idx val="0"/>
          <c:layout>
            <c:manualLayout>
              <c:x val="9.546776546575042E-2"/>
              <c:y val="-8.5723201183277202E-17"/>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a:noFill/>
          </a:ln>
          <a:effectLst/>
        </c:spPr>
        <c:dLbl>
          <c:idx val="0"/>
          <c:layout>
            <c:manualLayout>
              <c:x val="6.5197498366853832E-2"/>
              <c:y val="-8.5723201183277202E-17"/>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2.4738952694057782E-2"/>
          <c:y val="5.1434514879007388E-2"/>
          <c:w val="0.95052209461188442"/>
          <c:h val="0.68034277403974486"/>
        </c:manualLayout>
      </c:layout>
      <c:barChart>
        <c:barDir val="col"/>
        <c:grouping val="clustered"/>
        <c:varyColors val="0"/>
        <c:ser>
          <c:idx val="0"/>
          <c:order val="0"/>
          <c:tx>
            <c:strRef>
              <c:f>'operatinal &amp; quality pivots'!$AD$36</c:f>
              <c:strCache>
                <c:ptCount val="1"/>
                <c:pt idx="0">
                  <c:v>Total</c:v>
                </c:pt>
              </c:strCache>
            </c:strRef>
          </c:tx>
          <c:spPr>
            <a:solidFill>
              <a:schemeClr val="accent1"/>
            </a:solidFill>
            <a:ln>
              <a:noFill/>
            </a:ln>
            <a:effectLst/>
          </c:spPr>
          <c:invertIfNegative val="0"/>
          <c:dPt>
            <c:idx val="0"/>
            <c:invertIfNegative val="0"/>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extLst>
              <c:ext xmlns:c16="http://schemas.microsoft.com/office/drawing/2014/chart" uri="{C3380CC4-5D6E-409C-BE32-E72D297353CC}">
                <c16:uniqueId val="{00000001-C3BF-47F0-8870-39AC9F5EACB3}"/>
              </c:ext>
            </c:extLst>
          </c:dPt>
          <c:dPt>
            <c:idx val="1"/>
            <c:invertIfNegative val="0"/>
            <c:bubble3D val="0"/>
            <c:spPr>
              <a:gradFill>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gradFill>
              <a:ln>
                <a:noFill/>
              </a:ln>
              <a:effectLst/>
            </c:spPr>
            <c:extLst>
              <c:ext xmlns:c16="http://schemas.microsoft.com/office/drawing/2014/chart" uri="{C3380CC4-5D6E-409C-BE32-E72D297353CC}">
                <c16:uniqueId val="{00000002-C3BF-47F0-8870-39AC9F5EACB3}"/>
              </c:ext>
            </c:extLst>
          </c:dPt>
          <c:dPt>
            <c:idx val="2"/>
            <c:invertIfNegative val="0"/>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extLst>
              <c:ext xmlns:c16="http://schemas.microsoft.com/office/drawing/2014/chart" uri="{C3380CC4-5D6E-409C-BE32-E72D297353CC}">
                <c16:uniqueId val="{00000003-C3BF-47F0-8870-39AC9F5EACB3}"/>
              </c:ext>
            </c:extLst>
          </c:dPt>
          <c:dPt>
            <c:idx val="3"/>
            <c:invertIfNegative val="0"/>
            <c:bubble3D val="0"/>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a:noFill/>
              </a:ln>
              <a:effectLst/>
            </c:spPr>
            <c:extLst>
              <c:ext xmlns:c16="http://schemas.microsoft.com/office/drawing/2014/chart" uri="{C3380CC4-5D6E-409C-BE32-E72D297353CC}">
                <c16:uniqueId val="{00000004-C3BF-47F0-8870-39AC9F5EACB3}"/>
              </c:ext>
            </c:extLst>
          </c:dPt>
          <c:dPt>
            <c:idx val="4"/>
            <c:invertIfNegative val="0"/>
            <c:bubble3D val="0"/>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a:noFill/>
              </a:ln>
              <a:effectLst/>
            </c:spPr>
            <c:extLst>
              <c:ext xmlns:c16="http://schemas.microsoft.com/office/drawing/2014/chart" uri="{C3380CC4-5D6E-409C-BE32-E72D297353CC}">
                <c16:uniqueId val="{00000005-C3BF-47F0-8870-39AC9F5EACB3}"/>
              </c:ext>
            </c:extLst>
          </c:dPt>
          <c:dLbls>
            <c:dLbl>
              <c:idx val="0"/>
              <c:layout>
                <c:manualLayout>
                  <c:x val="0.11409562214199451"/>
                  <c:y val="2.8055189934004025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C3BF-47F0-8870-39AC9F5EACB3}"/>
                </c:ext>
              </c:extLst>
            </c:dLbl>
            <c:dLbl>
              <c:idx val="1"/>
              <c:layout>
                <c:manualLayout>
                  <c:x val="9.5467765465750462E-2"/>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C3BF-47F0-8870-39AC9F5EACB3}"/>
                </c:ext>
              </c:extLst>
            </c:dLbl>
            <c:dLbl>
              <c:idx val="2"/>
              <c:layout>
                <c:manualLayout>
                  <c:x val="9.7796247550280921E-2"/>
                  <c:y val="-9.3517299780013653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C3BF-47F0-8870-39AC9F5EACB3}"/>
                </c:ext>
              </c:extLst>
            </c:dLbl>
            <c:dLbl>
              <c:idx val="3"/>
              <c:layout>
                <c:manualLayout>
                  <c:x val="9.546776546575042E-2"/>
                  <c:y val="-8.5723201183277202E-17"/>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C3BF-47F0-8870-39AC9F5EACB3}"/>
                </c:ext>
              </c:extLst>
            </c:dLbl>
            <c:dLbl>
              <c:idx val="4"/>
              <c:layout>
                <c:manualLayout>
                  <c:x val="6.5197498366853832E-2"/>
                  <c:y val="-8.5723201183277202E-17"/>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C3BF-47F0-8870-39AC9F5EACB3}"/>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'operatinal &amp; quality pivots'!$AC$37:$AC$42</c:f>
              <c:strCache>
                <c:ptCount val="5"/>
                <c:pt idx="0">
                  <c:v>Elite Quality Parts</c:v>
                </c:pt>
                <c:pt idx="1">
                  <c:v>Apex Manufacturing Corp</c:v>
                </c:pt>
                <c:pt idx="2">
                  <c:v>Precision Tech Solutions</c:v>
                </c:pt>
                <c:pt idx="3">
                  <c:v>Titan Industrial Group</c:v>
                </c:pt>
                <c:pt idx="4">
                  <c:v>Global Source Logistics</c:v>
                </c:pt>
              </c:strCache>
            </c:strRef>
          </c:cat>
          <c:val>
            <c:numRef>
              <c:f>'operatinal &amp; quality pivots'!$AD$37:$AD$42</c:f>
              <c:numCache>
                <c:formatCode>General</c:formatCode>
                <c:ptCount val="5"/>
                <c:pt idx="0">
                  <c:v>17</c:v>
                </c:pt>
                <c:pt idx="1">
                  <c:v>16.777777777777779</c:v>
                </c:pt>
                <c:pt idx="2">
                  <c:v>16.227272727272727</c:v>
                </c:pt>
                <c:pt idx="3">
                  <c:v>14.722222222222221</c:v>
                </c:pt>
                <c:pt idx="4">
                  <c:v>14.333333333333334</c:v>
                </c:pt>
              </c:numCache>
            </c:numRef>
          </c:val>
          <c:extLst>
            <c:ext xmlns:c16="http://schemas.microsoft.com/office/drawing/2014/chart" uri="{C3380CC4-5D6E-409C-BE32-E72D297353CC}">
              <c16:uniqueId val="{00000000-5321-4ACE-84F8-51DBF898D85F}"/>
            </c:ext>
          </c:extLst>
        </c:ser>
        <c:dLbls>
          <c:dLblPos val="outEnd"/>
          <c:showLegendKey val="0"/>
          <c:showVal val="1"/>
          <c:showCatName val="0"/>
          <c:showSerName val="0"/>
          <c:showPercent val="0"/>
          <c:showBubbleSize val="0"/>
        </c:dLbls>
        <c:gapWidth val="44"/>
        <c:overlap val="100"/>
        <c:axId val="1327704640"/>
        <c:axId val="1327710880"/>
      </c:barChart>
      <c:catAx>
        <c:axId val="132770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en-US"/>
          </a:p>
        </c:txPr>
        <c:crossAx val="1327710880"/>
        <c:crosses val="autoZero"/>
        <c:auto val="1"/>
        <c:lblAlgn val="ctr"/>
        <c:lblOffset val="100"/>
        <c:noMultiLvlLbl val="0"/>
      </c:catAx>
      <c:valAx>
        <c:axId val="1327710880"/>
        <c:scaling>
          <c:orientation val="minMax"/>
        </c:scaling>
        <c:delete val="1"/>
        <c:axPos val="l"/>
        <c:numFmt formatCode="General" sourceLinked="1"/>
        <c:majorTickMark val="none"/>
        <c:minorTickMark val="none"/>
        <c:tickLblPos val="nextTo"/>
        <c:crossAx val="1327704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[supplychain_dataanalysis_dashboard.xlsx]shipping cost vs time pivot!PivotTable8</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'shipping cost vs time pivot'!$B$2</c:f>
              <c:strCache>
                <c:ptCount val="1"/>
                <c:pt idx="0">
                  <c:v>Average of Shipping costs</c:v>
                </c:pt>
              </c:strCache>
            </c:strRef>
          </c:tx>
          <c:spPr>
            <a:solidFill>
              <a:schemeClr val="accent1"/>
            </a:solidFill>
            <a:ln>
              <a:noFill/>
            </a:ln>
            <a:effectLst/>
          </c:spPr>
          <c:invertIfNegative val="0"/>
          <c:cat>
            <c:strRef>
              <c:f>'shipping cost vs time pivot'!$A$3:$A$6</c:f>
              <c:strCache>
                <c:ptCount val="3"/>
                <c:pt idx="0">
                  <c:v>GlobalLogix</c:v>
                </c:pt>
                <c:pt idx="1">
                  <c:v>SwiftParcel</c:v>
                </c:pt>
                <c:pt idx="2">
                  <c:v>TransOceanic</c:v>
                </c:pt>
              </c:strCache>
            </c:strRef>
          </c:cat>
          <c:val>
            <c:numRef>
              <c:f>'shipping cost vs time pivot'!$B$3:$B$6</c:f>
              <c:numCache>
                <c:formatCode>General</c:formatCode>
                <c:ptCount val="3"/>
                <c:pt idx="0">
                  <c:v>5.5549225216512665</c:v>
                </c:pt>
                <c:pt idx="1">
                  <c:v>5.5992916183375021</c:v>
                </c:pt>
                <c:pt idx="2">
                  <c:v>5.5092469689287276</c:v>
                </c:pt>
              </c:numCache>
            </c:numRef>
          </c:val>
          <c:extLst>
            <c:ext xmlns:c16="http://schemas.microsoft.com/office/drawing/2014/chart" uri="{C3380CC4-5D6E-409C-BE32-E72D297353CC}">
              <c16:uniqueId val="{00000000-C5D0-462B-91F7-7FC3AAD1BB58}"/>
            </c:ext>
          </c:extLst>
        </c:ser>
        <c:dLbls>
          <c:showLegendKey val="0"/>
          <c:showVal val="0"/>
          <c:showCatName val="0"/>
          <c:showSerName val="0"/>
          <c:showPercent val="0"/>
          <c:showBubbleSize val="0"/>
        </c:dLbls>
        <c:gapWidth val="219"/>
        <c:axId val="158620079"/>
        <c:axId val="158617999"/>
      </c:barChart>
      <c:lineChart>
        <c:grouping val="standard"/>
        <c:varyColors val="0"/>
        <c:ser>
          <c:idx val="1"/>
          <c:order val="1"/>
          <c:tx>
            <c:strRef>
              <c:f>'shipping cost vs time pivot'!$C$2</c:f>
              <c:strCache>
                <c:ptCount val="1"/>
                <c:pt idx="0">
                  <c:v>Average of Shipping times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'shipping cost vs time pivot'!$A$3:$A$6</c:f>
              <c:strCache>
                <c:ptCount val="3"/>
                <c:pt idx="0">
                  <c:v>GlobalLogix</c:v>
                </c:pt>
                <c:pt idx="1">
                  <c:v>SwiftParcel</c:v>
                </c:pt>
                <c:pt idx="2">
                  <c:v>TransOceanic</c:v>
                </c:pt>
              </c:strCache>
            </c:strRef>
          </c:cat>
          <c:val>
            <c:numRef>
              <c:f>'shipping cost vs time pivot'!$C$3:$C$6</c:f>
              <c:numCache>
                <c:formatCode>General</c:formatCode>
                <c:ptCount val="3"/>
                <c:pt idx="0">
                  <c:v>6.1428571428571432</c:v>
                </c:pt>
                <c:pt idx="1">
                  <c:v>6.0344827586206895</c:v>
                </c:pt>
                <c:pt idx="2">
                  <c:v>5.3023255813953485</c:v>
                </c:pt>
              </c:numCache>
            </c:numRef>
          </c:val>
          <c:smooth val="0"/>
          <c:extLst>
            <c:ext xmlns:c16="http://schemas.microsoft.com/office/drawing/2014/chart" uri="{C3380CC4-5D6E-409C-BE32-E72D297353CC}">
              <c16:uniqueId val="{00000001-C5D0-462B-91F7-7FC3AAD1BB58}"/>
            </c:ext>
          </c:extLst>
        </c:ser>
        <c:dLbls>
          <c:showLegendKey val="0"/>
          <c:showVal val="0"/>
          <c:showCatName val="0"/>
          <c:showSerName val="0"/>
          <c:showPercent val="0"/>
          <c:showBubbleSize val="0"/>
        </c:dLbls>
        <c:marker val="1"/>
        <c:smooth val="0"/>
        <c:axId val="158620079"/>
        <c:axId val="158617999"/>
      </c:lineChart>
      <c:catAx>
        <c:axId val="15862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17999"/>
        <c:crosses val="autoZero"/>
        <c:auto val="1"/>
        <c:lblAlgn val="ctr"/>
        <c:lblOffset val="100"/>
        <c:noMultiLvlLbl val="0"/>
      </c:catAx>
      <c:valAx>
        <c:axId val="15861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2007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[supplychain_dataanalysis_dashboard.xlsx]shipping cost vs time pivot!PivotTable9</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'shipping cost vs time pivot'!$B$22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E4C-4232-AF62-CD30F46E1B2E}"/>
              </c:ext>
            </c:extLst>
          </c:dPt>
          <c:dPt>
            <c:idx val="1"/>
            <c:bubble3D val="0"/>
            <c:spPr>
              <a:solidFill>
                <a:schemeClr val="accent2"/>
              </a:solidFill>
              <a:ln>
                <a:noFill/>
              </a:ln>
              <a:effectLst/>
            </c:spPr>
            <c:extLst>
              <c:ext xmlns:c16="http://schemas.microsoft.com/office/drawing/2014/chart" uri="{C3380CC4-5D6E-409C-BE32-E72D297353CC}">
                <c16:uniqueId val="{00000003-7E4C-4232-AF62-CD30F46E1B2E}"/>
              </c:ext>
            </c:extLst>
          </c:dPt>
          <c:dPt>
            <c:idx val="2"/>
            <c:bubble3D val="0"/>
            <c:spPr>
              <a:solidFill>
                <a:schemeClr val="accent3"/>
              </a:solidFill>
              <a:ln>
                <a:noFill/>
              </a:ln>
              <a:effectLst/>
            </c:spPr>
            <c:extLst>
              <c:ext xmlns:c16="http://schemas.microsoft.com/office/drawing/2014/chart" uri="{C3380CC4-5D6E-409C-BE32-E72D297353CC}">
                <c16:uniqueId val="{00000005-7E4C-4232-AF62-CD30F46E1B2E}"/>
              </c:ext>
            </c:extLst>
          </c:dPt>
          <c:dPt>
            <c:idx val="3"/>
            <c:bubble3D val="0"/>
            <c:spPr>
              <a:solidFill>
                <a:schemeClr val="accent4"/>
              </a:solidFill>
              <a:ln>
                <a:noFill/>
              </a:ln>
              <a:effectLst/>
            </c:spPr>
            <c:extLst>
              <c:ext xmlns:c16="http://schemas.microsoft.com/office/drawing/2014/chart" uri="{C3380CC4-5D6E-409C-BE32-E72D297353CC}">
                <c16:uniqueId val="{00000007-7E4C-4232-AF62-CD30F46E1B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'shipping cost vs time pivot'!$A$23:$A$27</c:f>
              <c:strCache>
                <c:ptCount val="4"/>
                <c:pt idx="0">
                  <c:v>Unknown</c:v>
                </c:pt>
                <c:pt idx="1">
                  <c:v>Female</c:v>
                </c:pt>
                <c:pt idx="2">
                  <c:v>Non-binary</c:v>
                </c:pt>
                <c:pt idx="3">
                  <c:v>Male</c:v>
                </c:pt>
              </c:strCache>
            </c:strRef>
          </c:cat>
          <c:val>
            <c:numRef>
              <c:f>'shipping cost vs time pivot'!$B$23:$B$27</c:f>
              <c:numCache>
                <c:formatCode>General</c:formatCode>
                <c:ptCount val="4"/>
                <c:pt idx="0">
                  <c:v>15211</c:v>
                </c:pt>
                <c:pt idx="1">
                  <c:v>12801</c:v>
                </c:pt>
                <c:pt idx="2">
                  <c:v>10580</c:v>
                </c:pt>
                <c:pt idx="3">
                  <c:v>7507</c:v>
                </c:pt>
              </c:numCache>
            </c:numRef>
          </c:val>
          <c:extLst>
            <c:ext xmlns:c16="http://schemas.microsoft.com/office/drawing/2014/chart" uri="{C3380CC4-5D6E-409C-BE32-E72D297353CC}">
              <c16:uniqueId val="{00000000-3D20-4B33-A1B3-1789F4D4A66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4</xdr:col>
      <xdr:colOff>1168111</xdr:colOff>
      <xdr:row>1</xdr:row>
      <xdr:rowOff>156730</xdr:rowOff>
    </xdr:from>
    <xdr:to>
      <xdr:col>7</xdr:col>
      <xdr:colOff>561398</xdr:colOff>
      <xdr:row>16</xdr:row>
      <xdr:rowOff>137680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1168111</xdr:colOff>
      <xdr:row>1</xdr:row>
      <xdr:rowOff>156730</xdr:rowOff>
    </xdr:from>
    <xdr:to>
      <xdr:col>10</xdr:col>
      <xdr:colOff>561398</xdr:colOff>
      <xdr:row>16</xdr:row>
      <xdr:rowOff>137680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33</xdr:col>
      <xdr:colOff>323191</xdr:colOff>
      <xdr:row>32</xdr:row>
      <xdr:rowOff>139379</xdr:rowOff>
    </xdr:from>
    <xdr:to>
      <xdr:col>41</xdr:col>
      <xdr:colOff>48843</xdr:colOff>
      <xdr:row>47</xdr:row>
      <xdr:rowOff>177097</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376534</xdr:colOff>
      <xdr:row>0</xdr:row>
      <xdr:rowOff>0</xdr:rowOff>
    </xdr:from>
    <xdr:to>
      <xdr:col>33</xdr:col>
      <xdr:colOff>617105</xdr:colOff>
      <xdr:row>13</xdr:row>
      <xdr:rowOff>125119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528382</xdr:colOff>
      <xdr:row>51</xdr:row>
      <xdr:rowOff>69874</xdr:rowOff>
    </xdr:from>
    <xdr:to>
      <xdr:col>31</xdr:col>
      <xdr:colOff>151678</xdr:colOff>
      <xdr:row>66</xdr:row>
      <xdr:rowOff>80468</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139700</xdr:colOff>
      <xdr:row>1</xdr:row>
      <xdr:rowOff>53975</xdr:rowOff>
    </xdr:from>
    <xdr:to>
      <xdr:col>9</xdr:col>
      <xdr:colOff>444500</xdr:colOff>
      <xdr:row>16</xdr:row>
      <xdr:rowOff>34925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44450</xdr:colOff>
      <xdr:row>25</xdr:row>
      <xdr:rowOff>53975</xdr:rowOff>
    </xdr:from>
    <xdr:to>
      <xdr:col>13</xdr:col>
      <xdr:colOff>368300</xdr:colOff>
      <xdr:row>40</xdr:row>
      <xdr:rowOff>34925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30</xdr:col>
      <xdr:colOff>442228</xdr:colOff>
      <xdr:row>4</xdr:row>
      <xdr:rowOff>68036</xdr:rowOff>
    </xdr:from>
    <xdr:to>
      <xdr:col>34</xdr:col>
      <xdr:colOff>456771</xdr:colOff>
      <xdr:row>25</xdr:row>
      <xdr:rowOff>45357</xdr:rowOff>
    </xdr:to>
    <xdr:sp macro="" textlink="">
      <xdr:nvSpPr>
        <xdr:cNvPr id="36" name="Rectangle 35"/>
        <xdr:cNvSpPr/>
      </xdr:nvSpPr>
      <xdr:spPr>
        <a:xfrm flipH="1">
          <a:off x="18811871" y="793750"/>
          <a:ext cx="2463829" cy="3787321"/>
        </a:xfrm>
        <a:prstGeom prst="rect">
          <a:avLst/>
        </a:prstGeom>
        <a:gradFill>
          <a:gsLst>
            <a:gs pos="0">
              <a:schemeClr val="tx2">
                <a:shade val="30000"/>
                <a:satMod val="115000"/>
              </a:schemeClr>
            </a:gs>
            <a:gs pos="50000">
              <a:schemeClr val="tx2">
                <a:shade val="67500"/>
                <a:satMod val="115000"/>
              </a:schemeClr>
            </a:gs>
            <a:gs pos="100000">
              <a:schemeClr val="tx2">
                <a:shade val="100000"/>
                <a:satMod val="115000"/>
              </a:schemeClr>
            </a:gs>
          </a:gsLst>
          <a:lin ang="5400000" scaled="1"/>
        </a:gradFill>
        <a:effectLst>
          <a:softEdge rad="3175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18675</xdr:colOff>
      <xdr:row>15</xdr:row>
      <xdr:rowOff>22280</xdr:rowOff>
    </xdr:from>
    <xdr:to>
      <xdr:col>30</xdr:col>
      <xdr:colOff>362856</xdr:colOff>
      <xdr:row>53</xdr:row>
      <xdr:rowOff>12451</xdr:rowOff>
    </xdr:to>
    <xdr:sp macro="" textlink="">
      <xdr:nvSpPr>
        <xdr:cNvPr id="24" name="Round Same Side Corner Rectangle 23"/>
        <xdr:cNvSpPr/>
      </xdr:nvSpPr>
      <xdr:spPr>
        <a:xfrm>
          <a:off x="5529568" y="2743709"/>
          <a:ext cx="13202931" cy="6884456"/>
        </a:xfrm>
        <a:prstGeom prst="round2SameRect">
          <a:avLst/>
        </a:prstGeom>
        <a:gradFill>
          <a:gsLst>
            <a:gs pos="0">
              <a:schemeClr val="tx2">
                <a:shade val="30000"/>
                <a:satMod val="115000"/>
              </a:schemeClr>
            </a:gs>
            <a:gs pos="50000">
              <a:schemeClr val="tx2">
                <a:shade val="67500"/>
                <a:satMod val="115000"/>
              </a:schemeClr>
            </a:gs>
            <a:gs pos="100000">
              <a:schemeClr val="tx2">
                <a:shade val="100000"/>
                <a:satMod val="115000"/>
              </a:schemeClr>
            </a:gs>
          </a:gsLst>
          <a:lin ang="5400000" scaled="1"/>
        </a:gradFill>
        <a:effectLst>
          <a:softEdge rad="3175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334212</xdr:colOff>
      <xdr:row>15</xdr:row>
      <xdr:rowOff>0</xdr:rowOff>
    </xdr:from>
    <xdr:to>
      <xdr:col>8</xdr:col>
      <xdr:colOff>429559</xdr:colOff>
      <xdr:row>53</xdr:row>
      <xdr:rowOff>57727</xdr:rowOff>
    </xdr:to>
    <xdr:sp macro="" textlink="">
      <xdr:nvSpPr>
        <xdr:cNvPr id="7" name="Round Same Side Corner Rectangle 6"/>
        <xdr:cNvSpPr/>
      </xdr:nvSpPr>
      <xdr:spPr>
        <a:xfrm>
          <a:off x="334212" y="2721429"/>
          <a:ext cx="4993918" cy="6952012"/>
        </a:xfrm>
        <a:prstGeom prst="round2SameRect">
          <a:avLst/>
        </a:prstGeom>
        <a:gradFill>
          <a:gsLst>
            <a:gs pos="0">
              <a:schemeClr val="tx2">
                <a:shade val="30000"/>
                <a:satMod val="115000"/>
              </a:schemeClr>
            </a:gs>
            <a:gs pos="50000">
              <a:schemeClr val="tx2">
                <a:shade val="67500"/>
                <a:satMod val="115000"/>
              </a:schemeClr>
            </a:gs>
            <a:gs pos="100000">
              <a:schemeClr val="tx2">
                <a:shade val="100000"/>
                <a:satMod val="115000"/>
              </a:schemeClr>
            </a:gs>
          </a:gsLst>
          <a:lin ang="5400000" scaled="1"/>
        </a:gradFill>
        <a:effectLst>
          <a:softEdge rad="3175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100"/>
        </a:p>
      </xdr:txBody>
    </xdr:sp>
    <xdr:clientData/>
  </xdr:twoCellAnchor>
  <xdr:twoCellAnchor>
    <xdr:from>
      <xdr:col>0</xdr:col>
      <xdr:colOff>7937</xdr:colOff>
      <xdr:row>0</xdr:row>
      <xdr:rowOff>0</xdr:rowOff>
    </xdr:from>
    <xdr:to>
      <xdr:col>35</xdr:col>
      <xdr:colOff>340178</xdr:colOff>
      <xdr:row>3</xdr:row>
      <xdr:rowOff>136070</xdr:rowOff>
    </xdr:to>
    <xdr:sp macro="" textlink="">
      <xdr:nvSpPr>
        <xdr:cNvPr id="3" name="Rectangle 2"/>
        <xdr:cNvSpPr/>
      </xdr:nvSpPr>
      <xdr:spPr>
        <a:xfrm>
          <a:off x="7937" y="0"/>
          <a:ext cx="21763491" cy="680356"/>
        </a:xfrm>
        <a:prstGeom prst="rect">
          <a:avLst/>
        </a:prstGeom>
        <a:gradFill flip="none" rotWithShape="1">
          <a:gsLst>
            <a:gs pos="0">
              <a:schemeClr val="tx2">
                <a:shade val="30000"/>
                <a:satMod val="115000"/>
              </a:schemeClr>
            </a:gs>
            <a:gs pos="50000">
              <a:schemeClr val="tx2">
                <a:shade val="67500"/>
                <a:satMod val="115000"/>
              </a:schemeClr>
            </a:gs>
            <a:gs pos="100000">
              <a:schemeClr val="tx2">
                <a:shade val="100000"/>
                <a:satMod val="115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200" b="1">
            <a:latin typeface="Arial" panose="020B0604020202020204" pitchFamily="34" charset="0"/>
            <a:cs typeface="Arial" panose="020B0604020202020204" pitchFamily="34" charset="0"/>
          </a:endParaRPr>
        </a:p>
      </xdr:txBody>
    </xdr:sp>
    <xdr:clientData/>
  </xdr:twoCellAnchor>
  <xdr:twoCellAnchor>
    <xdr:from>
      <xdr:col>0</xdr:col>
      <xdr:colOff>206377</xdr:colOff>
      <xdr:row>4</xdr:row>
      <xdr:rowOff>31751</xdr:rowOff>
    </xdr:from>
    <xdr:to>
      <xdr:col>5</xdr:col>
      <xdr:colOff>484188</xdr:colOff>
      <xdr:row>13</xdr:row>
      <xdr:rowOff>79376</xdr:rowOff>
    </xdr:to>
    <xdr:sp macro="" textlink="kpis!B4">
      <xdr:nvSpPr>
        <xdr:cNvPr id="4" name="Rounded Rectangle 3"/>
        <xdr:cNvSpPr/>
      </xdr:nvSpPr>
      <xdr:spPr>
        <a:xfrm>
          <a:off x="206377" y="757465"/>
          <a:ext cx="3339418" cy="1680482"/>
        </a:xfrm>
        <a:prstGeom prst="roundRect">
          <a:avLst/>
        </a:prstGeom>
        <a:gradFill flip="none" rotWithShape="1">
          <a:gsLst>
            <a:gs pos="0">
              <a:schemeClr val="accent6">
                <a:lumMod val="89000"/>
                <a:alpha val="75000"/>
              </a:schemeClr>
            </a:gs>
            <a:gs pos="23000">
              <a:schemeClr val="accent6">
                <a:lumMod val="89000"/>
                <a:alpha val="88000"/>
              </a:schemeClr>
            </a:gs>
            <a:gs pos="69000">
              <a:schemeClr val="accent6">
                <a:lumMod val="75000"/>
                <a:alpha val="84000"/>
              </a:schemeClr>
            </a:gs>
            <a:gs pos="97000">
              <a:schemeClr val="accent6">
                <a:lumMod val="70000"/>
                <a:alpha val="90000"/>
              </a:schemeClr>
            </a:gs>
          </a:gsLst>
          <a:path path="circle">
            <a:fillToRect l="50000" t="50000" r="50000" b="50000"/>
          </a:path>
          <a:tileRect/>
        </a:gradFill>
        <a:ln>
          <a:noFill/>
        </a:ln>
        <a:effectLst>
          <a:innerShdw blurRad="63500" dist="114300" dir="2700000">
            <a:prstClr val="black">
              <a:alpha val="50000"/>
            </a:prstClr>
          </a:inn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16F98B4B-CB50-4FCC-A0A0-90DEF69EEF6D}" type="TxLink">
            <a:rPr lang="en-US" sz="3200" b="0" i="0" u="none" strike="noStrike">
              <a:solidFill>
                <a:schemeClr val="bg1"/>
              </a:solidFill>
              <a:effectLst>
                <a:outerShdw blurRad="50800" dist="38100" dir="18900000" algn="bl" rotWithShape="0">
                  <a:prstClr val="black">
                    <a:alpha val="40000"/>
                  </a:prstClr>
                </a:outerShdw>
              </a:effectLst>
              <a:latin typeface="Arial" panose="020B0604020202020204" pitchFamily="34" charset="0"/>
              <a:ea typeface="Calibri"/>
              <a:cs typeface="Arial" panose="020B0604020202020204" pitchFamily="34" charset="0"/>
            </a:rPr>
            <a:pPr marL="0" indent="0" algn="ctr"/>
            <a:t>$599,338</a:t>
          </a:fld>
          <a:endParaRPr lang="en-US" sz="3200" b="0" i="0" u="none" strike="noStrike">
            <a:solidFill>
              <a:schemeClr val="bg1"/>
            </a:solidFill>
            <a:effectLst>
              <a:outerShdw blurRad="50800" dist="38100" dir="18900000" algn="bl" rotWithShape="0">
                <a:prstClr val="black">
                  <a:alpha val="40000"/>
                </a:prstClr>
              </a:outerShdw>
            </a:effectLst>
            <a:latin typeface="Arial" panose="020B0604020202020204" pitchFamily="34" charset="0"/>
            <a:ea typeface="Calibri"/>
            <a:cs typeface="Arial" panose="020B0604020202020204" pitchFamily="34" charset="0"/>
          </a:endParaRPr>
        </a:p>
      </xdr:txBody>
    </xdr:sp>
    <xdr:clientData/>
  </xdr:twoCellAnchor>
  <xdr:twoCellAnchor>
    <xdr:from>
      <xdr:col>6</xdr:col>
      <xdr:colOff>63500</xdr:colOff>
      <xdr:row>4</xdr:row>
      <xdr:rowOff>23813</xdr:rowOff>
    </xdr:from>
    <xdr:to>
      <xdr:col>11</xdr:col>
      <xdr:colOff>341311</xdr:colOff>
      <xdr:row>13</xdr:row>
      <xdr:rowOff>79375</xdr:rowOff>
    </xdr:to>
    <xdr:sp macro="" textlink="kpis!C4">
      <xdr:nvSpPr>
        <xdr:cNvPr id="8" name="Rounded Rectangle 7"/>
        <xdr:cNvSpPr/>
      </xdr:nvSpPr>
      <xdr:spPr>
        <a:xfrm>
          <a:off x="3737429" y="749527"/>
          <a:ext cx="3339418" cy="1688419"/>
        </a:xfrm>
        <a:prstGeom prst="roundRect">
          <a:avLst/>
        </a:prstGeom>
        <a:gradFill flip="none" rotWithShape="1">
          <a:gsLst>
            <a:gs pos="0">
              <a:schemeClr val="accent6">
                <a:lumMod val="89000"/>
                <a:alpha val="75000"/>
              </a:schemeClr>
            </a:gs>
            <a:gs pos="23000">
              <a:schemeClr val="accent6">
                <a:lumMod val="89000"/>
                <a:alpha val="88000"/>
              </a:schemeClr>
            </a:gs>
            <a:gs pos="69000">
              <a:schemeClr val="accent6">
                <a:lumMod val="75000"/>
                <a:alpha val="84000"/>
              </a:schemeClr>
            </a:gs>
            <a:gs pos="97000">
              <a:schemeClr val="accent6">
                <a:lumMod val="70000"/>
                <a:alpha val="90000"/>
              </a:schemeClr>
            </a:gs>
          </a:gsLst>
          <a:path path="circle">
            <a:fillToRect l="50000" t="50000" r="50000" b="50000"/>
          </a:path>
          <a:tileRect/>
        </a:gradFill>
        <a:ln>
          <a:noFill/>
        </a:ln>
        <a:effectLst>
          <a:innerShdw blurRad="63500" dist="114300" dir="2700000">
            <a:prstClr val="black">
              <a:alpha val="50000"/>
            </a:prstClr>
          </a:inn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DE906404-2E36-48B8-9506-485D792B3E8E}" type="TxLink">
            <a:rPr lang="en-US" sz="3200" b="0" i="0" u="none" strike="noStrike">
              <a:solidFill>
                <a:schemeClr val="bg1"/>
              </a:solidFill>
              <a:effectLst>
                <a:outerShdw blurRad="50800" dist="38100" dir="18900000" algn="bl" rotWithShape="0">
                  <a:prstClr val="black">
                    <a:alpha val="40000"/>
                  </a:prstClr>
                </a:outerShdw>
              </a:effectLst>
              <a:latin typeface="Arial" panose="020B0604020202020204" pitchFamily="34" charset="0"/>
              <a:ea typeface="Calibri"/>
              <a:cs typeface="Arial" panose="020B0604020202020204" pitchFamily="34" charset="0"/>
            </a:rPr>
            <a:pPr marL="0" indent="0" algn="ctr"/>
            <a:t>$312,982</a:t>
          </a:fld>
          <a:endParaRPr lang="en-US" sz="3200" b="0" i="0" u="none" strike="noStrike">
            <a:solidFill>
              <a:schemeClr val="bg1"/>
            </a:solidFill>
            <a:effectLst>
              <a:outerShdw blurRad="50800" dist="38100" dir="18900000" algn="bl" rotWithShape="0">
                <a:prstClr val="black">
                  <a:alpha val="40000"/>
                </a:prstClr>
              </a:outerShdw>
            </a:effectLst>
            <a:latin typeface="Arial" panose="020B0604020202020204" pitchFamily="34" charset="0"/>
            <a:ea typeface="Calibri"/>
            <a:cs typeface="Arial" panose="020B0604020202020204" pitchFamily="34" charset="0"/>
          </a:endParaRPr>
        </a:p>
      </xdr:txBody>
    </xdr:sp>
    <xdr:clientData/>
  </xdr:twoCellAnchor>
  <xdr:twoCellAnchor>
    <xdr:from>
      <xdr:col>17</xdr:col>
      <xdr:colOff>473196</xdr:colOff>
      <xdr:row>4</xdr:row>
      <xdr:rowOff>45181</xdr:rowOff>
    </xdr:from>
    <xdr:to>
      <xdr:col>23</xdr:col>
      <xdr:colOff>139820</xdr:colOff>
      <xdr:row>13</xdr:row>
      <xdr:rowOff>56697</xdr:rowOff>
    </xdr:to>
    <xdr:sp macro="" textlink="kpis!D4">
      <xdr:nvSpPr>
        <xdr:cNvPr id="9" name="Rounded Rectangle 8"/>
        <xdr:cNvSpPr/>
      </xdr:nvSpPr>
      <xdr:spPr>
        <a:xfrm>
          <a:off x="10882660" y="770895"/>
          <a:ext cx="3340553" cy="1644373"/>
        </a:xfrm>
        <a:prstGeom prst="roundRect">
          <a:avLst/>
        </a:prstGeom>
        <a:gradFill flip="none" rotWithShape="1">
          <a:gsLst>
            <a:gs pos="0">
              <a:schemeClr val="accent6">
                <a:lumMod val="89000"/>
                <a:alpha val="75000"/>
              </a:schemeClr>
            </a:gs>
            <a:gs pos="23000">
              <a:schemeClr val="accent6">
                <a:lumMod val="89000"/>
                <a:alpha val="88000"/>
              </a:schemeClr>
            </a:gs>
            <a:gs pos="69000">
              <a:schemeClr val="accent6">
                <a:lumMod val="75000"/>
                <a:alpha val="84000"/>
              </a:schemeClr>
            </a:gs>
            <a:gs pos="97000">
              <a:schemeClr val="accent6">
                <a:lumMod val="70000"/>
                <a:alpha val="90000"/>
              </a:schemeClr>
            </a:gs>
          </a:gsLst>
          <a:path path="circle">
            <a:fillToRect l="50000" t="50000" r="50000" b="50000"/>
          </a:path>
          <a:tileRect/>
        </a:gradFill>
        <a:ln>
          <a:noFill/>
        </a:ln>
        <a:effectLst>
          <a:innerShdw blurRad="63500" dist="114300" dir="2700000">
            <a:prstClr val="black">
              <a:alpha val="50000"/>
            </a:prstClr>
          </a:inn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071F0377-1ADD-40B7-AC31-E9E77A5EDD32}" type="TxLink">
            <a:rPr lang="en-US" sz="3200" b="0" i="0" u="none" strike="noStrike">
              <a:solidFill>
                <a:schemeClr val="bg1"/>
              </a:solidFill>
              <a:effectLst>
                <a:outerShdw blurRad="50800" dist="38100" dir="18900000" algn="bl" rotWithShape="0">
                  <a:prstClr val="black">
                    <a:alpha val="40000"/>
                  </a:prstClr>
                </a:outerShdw>
              </a:effectLst>
              <a:latin typeface="Arial" panose="020B0604020202020204" pitchFamily="34" charset="0"/>
              <a:ea typeface="Calibri"/>
              <a:cs typeface="Arial" panose="020B0604020202020204" pitchFamily="34" charset="0"/>
            </a:rPr>
            <a:pPr marL="0" indent="0" algn="ctr"/>
            <a:t>30%</a:t>
          </a:fld>
          <a:endParaRPr lang="en-US" sz="3200" b="0" i="0" u="none" strike="noStrike">
            <a:solidFill>
              <a:schemeClr val="bg1"/>
            </a:solidFill>
            <a:effectLst>
              <a:outerShdw blurRad="50800" dist="38100" dir="18900000" algn="bl" rotWithShape="0">
                <a:prstClr val="black">
                  <a:alpha val="40000"/>
                </a:prstClr>
              </a:outerShdw>
            </a:effectLst>
            <a:latin typeface="Arial" panose="020B0604020202020204" pitchFamily="34" charset="0"/>
            <a:ea typeface="Calibri"/>
            <a:cs typeface="Arial" panose="020B0604020202020204" pitchFamily="34" charset="0"/>
          </a:endParaRPr>
        </a:p>
      </xdr:txBody>
    </xdr:sp>
    <xdr:clientData/>
  </xdr:twoCellAnchor>
  <xdr:twoCellAnchor>
    <xdr:from>
      <xdr:col>11</xdr:col>
      <xdr:colOff>578214</xdr:colOff>
      <xdr:row>4</xdr:row>
      <xdr:rowOff>39077</xdr:rowOff>
    </xdr:from>
    <xdr:to>
      <xdr:col>17</xdr:col>
      <xdr:colOff>244838</xdr:colOff>
      <xdr:row>13</xdr:row>
      <xdr:rowOff>79375</xdr:rowOff>
    </xdr:to>
    <xdr:sp macro="" textlink="kpis!H4">
      <xdr:nvSpPr>
        <xdr:cNvPr id="10" name="Rounded Rectangle 9"/>
        <xdr:cNvSpPr/>
      </xdr:nvSpPr>
      <xdr:spPr>
        <a:xfrm>
          <a:off x="7313750" y="764791"/>
          <a:ext cx="3340552" cy="1673155"/>
        </a:xfrm>
        <a:prstGeom prst="roundRect">
          <a:avLst/>
        </a:prstGeom>
        <a:gradFill flip="none" rotWithShape="1">
          <a:gsLst>
            <a:gs pos="0">
              <a:schemeClr val="accent6">
                <a:lumMod val="89000"/>
                <a:alpha val="75000"/>
              </a:schemeClr>
            </a:gs>
            <a:gs pos="23000">
              <a:schemeClr val="accent6">
                <a:lumMod val="89000"/>
                <a:alpha val="88000"/>
              </a:schemeClr>
            </a:gs>
            <a:gs pos="69000">
              <a:schemeClr val="accent6">
                <a:lumMod val="75000"/>
                <a:alpha val="84000"/>
              </a:schemeClr>
            </a:gs>
            <a:gs pos="97000">
              <a:schemeClr val="accent6">
                <a:lumMod val="70000"/>
                <a:alpha val="90000"/>
              </a:schemeClr>
            </a:gs>
          </a:gsLst>
          <a:path path="circle">
            <a:fillToRect l="50000" t="50000" r="50000" b="50000"/>
          </a:path>
          <a:tileRect/>
        </a:gradFill>
        <a:ln>
          <a:noFill/>
        </a:ln>
        <a:effectLst>
          <a:innerShdw blurRad="63500" dist="114300" dir="2700000">
            <a:prstClr val="black">
              <a:alpha val="50000"/>
            </a:prstClr>
          </a:inn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C53B9D0B-8480-46C2-A4AE-9DC42AFE2357}" type="TxLink">
            <a:rPr lang="en-US" sz="3200" b="0" i="0" u="none" strike="noStrike">
              <a:solidFill>
                <a:schemeClr val="bg1"/>
              </a:solidFill>
              <a:effectLst>
                <a:outerShdw blurRad="50800" dist="38100" dir="18900000" algn="bl" rotWithShape="0">
                  <a:prstClr val="black">
                    <a:alpha val="40000"/>
                  </a:prstClr>
                </a:outerShdw>
              </a:effectLst>
              <a:latin typeface="Arial" panose="020B0604020202020204" pitchFamily="34" charset="0"/>
              <a:ea typeface="Calibri"/>
              <a:cs typeface="Arial" panose="020B0604020202020204" pitchFamily="34" charset="0"/>
            </a:rPr>
            <a:pPr marL="0" indent="0" algn="ctr"/>
            <a:t>2.29%</a:t>
          </a:fld>
          <a:endParaRPr lang="en-US" sz="3200" b="0" i="0" u="none" strike="noStrike">
            <a:solidFill>
              <a:schemeClr val="bg1"/>
            </a:solidFill>
            <a:effectLst>
              <a:outerShdw blurRad="50800" dist="38100" dir="18900000" algn="bl" rotWithShape="0">
                <a:prstClr val="black">
                  <a:alpha val="40000"/>
                </a:prstClr>
              </a:outerShdw>
            </a:effectLst>
            <a:latin typeface="Arial" panose="020B0604020202020204" pitchFamily="34" charset="0"/>
            <a:ea typeface="Calibri"/>
            <a:cs typeface="Arial" panose="020B0604020202020204" pitchFamily="34" charset="0"/>
          </a:endParaRPr>
        </a:p>
      </xdr:txBody>
    </xdr:sp>
    <xdr:clientData/>
  </xdr:twoCellAnchor>
  <xdr:twoCellAnchor>
    <xdr:from>
      <xdr:col>0</xdr:col>
      <xdr:colOff>158751</xdr:colOff>
      <xdr:row>4</xdr:row>
      <xdr:rowOff>166686</xdr:rowOff>
    </xdr:from>
    <xdr:to>
      <xdr:col>4</xdr:col>
      <xdr:colOff>388938</xdr:colOff>
      <xdr:row>7</xdr:row>
      <xdr:rowOff>56695</xdr:rowOff>
    </xdr:to>
    <xdr:sp macro="" textlink="">
      <xdr:nvSpPr>
        <xdr:cNvPr id="12" name="TextBox 11"/>
        <xdr:cNvSpPr txBox="1"/>
      </xdr:nvSpPr>
      <xdr:spPr>
        <a:xfrm>
          <a:off x="158751" y="892400"/>
          <a:ext cx="2679473" cy="434295"/>
        </a:xfrm>
        <a:prstGeom prst="rect">
          <a:avLst/>
        </a:prstGeom>
        <a:noFill/>
        <a:ln w="9525" cmpd="sng">
          <a:noFill/>
        </a:ln>
        <a:effectLst>
          <a:outerShdw blurRad="50800" dist="38100" algn="l" rotWithShape="0">
            <a:schemeClr val="accent4">
              <a:lumMod val="40000"/>
              <a:lumOff val="6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tx2">
                  <a:lumMod val="50000"/>
                </a:schemeClr>
              </a:solidFill>
              <a:latin typeface="Arial" panose="020B0604020202020204" pitchFamily="34" charset="0"/>
              <a:cs typeface="Arial" panose="020B0604020202020204" pitchFamily="34" charset="0"/>
            </a:rPr>
            <a:t>Total Revenue</a:t>
          </a:r>
        </a:p>
      </xdr:txBody>
    </xdr:sp>
    <xdr:clientData/>
  </xdr:twoCellAnchor>
  <xdr:twoCellAnchor>
    <xdr:from>
      <xdr:col>6</xdr:col>
      <xdr:colOff>24946</xdr:colOff>
      <xdr:row>4</xdr:row>
      <xdr:rowOff>173491</xdr:rowOff>
    </xdr:from>
    <xdr:to>
      <xdr:col>10</xdr:col>
      <xdr:colOff>317500</xdr:colOff>
      <xdr:row>7</xdr:row>
      <xdr:rowOff>90715</xdr:rowOff>
    </xdr:to>
    <xdr:sp macro="" textlink="">
      <xdr:nvSpPr>
        <xdr:cNvPr id="13" name="TextBox 12"/>
        <xdr:cNvSpPr txBox="1"/>
      </xdr:nvSpPr>
      <xdr:spPr>
        <a:xfrm>
          <a:off x="3698875" y="899205"/>
          <a:ext cx="2741839" cy="461510"/>
        </a:xfrm>
        <a:prstGeom prst="rect">
          <a:avLst/>
        </a:prstGeom>
        <a:noFill/>
        <a:ln w="9525" cmpd="sng">
          <a:noFill/>
        </a:ln>
        <a:effectLst>
          <a:outerShdw blurRad="50800" dist="38100" algn="l" rotWithShape="0">
            <a:schemeClr val="accent4">
              <a:lumMod val="40000"/>
              <a:lumOff val="6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tx2">
                  <a:lumMod val="50000"/>
                </a:schemeClr>
              </a:solidFill>
              <a:latin typeface="Arial" panose="020B0604020202020204" pitchFamily="34" charset="0"/>
              <a:cs typeface="Arial" panose="020B0604020202020204" pitchFamily="34" charset="0"/>
            </a:rPr>
            <a:t>Total Net Profit</a:t>
          </a:r>
        </a:p>
      </xdr:txBody>
    </xdr:sp>
    <xdr:clientData/>
  </xdr:twoCellAnchor>
  <xdr:twoCellAnchor>
    <xdr:from>
      <xdr:col>17</xdr:col>
      <xdr:colOff>580745</xdr:colOff>
      <xdr:row>4</xdr:row>
      <xdr:rowOff>169042</xdr:rowOff>
    </xdr:from>
    <xdr:to>
      <xdr:col>23</xdr:col>
      <xdr:colOff>272144</xdr:colOff>
      <xdr:row>7</xdr:row>
      <xdr:rowOff>136071</xdr:rowOff>
    </xdr:to>
    <xdr:sp macro="" textlink="">
      <xdr:nvSpPr>
        <xdr:cNvPr id="14" name="TextBox 13"/>
        <xdr:cNvSpPr txBox="1"/>
      </xdr:nvSpPr>
      <xdr:spPr>
        <a:xfrm>
          <a:off x="10990209" y="894756"/>
          <a:ext cx="3365328" cy="511315"/>
        </a:xfrm>
        <a:prstGeom prst="rect">
          <a:avLst/>
        </a:prstGeom>
        <a:noFill/>
        <a:ln w="9525" cmpd="sng">
          <a:noFill/>
        </a:ln>
        <a:effectLst>
          <a:outerShdw blurRad="50800" dist="38100" algn="l" rotWithShape="0">
            <a:schemeClr val="accent4">
              <a:lumMod val="40000"/>
              <a:lumOff val="6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chemeClr val="tx2">
                  <a:lumMod val="50000"/>
                </a:schemeClr>
              </a:solidFill>
              <a:latin typeface="Arial" panose="020B0604020202020204" pitchFamily="34" charset="0"/>
              <a:cs typeface="Arial" panose="020B0604020202020204" pitchFamily="34" charset="0"/>
            </a:rPr>
            <a:t>Avg.</a:t>
          </a:r>
          <a:r>
            <a:rPr lang="en-US" sz="2400" b="1" baseline="0">
              <a:solidFill>
                <a:schemeClr val="tx2">
                  <a:lumMod val="50000"/>
                </a:schemeClr>
              </a:solidFill>
              <a:latin typeface="Arial" panose="020B0604020202020204" pitchFamily="34" charset="0"/>
              <a:cs typeface="Arial" panose="020B0604020202020204" pitchFamily="34" charset="0"/>
            </a:rPr>
            <a:t> Profit Margin</a:t>
          </a:r>
          <a:endParaRPr lang="en-US" sz="2400" b="1">
            <a:solidFill>
              <a:schemeClr val="tx2">
                <a:lumMod val="50000"/>
              </a:schemeClr>
            </a:solidFill>
            <a:latin typeface="Arial" panose="020B0604020202020204" pitchFamily="34" charset="0"/>
            <a:cs typeface="Arial" panose="020B0604020202020204" pitchFamily="34" charset="0"/>
          </a:endParaRPr>
        </a:p>
      </xdr:txBody>
    </xdr:sp>
    <xdr:clientData/>
  </xdr:twoCellAnchor>
  <xdr:twoCellAnchor>
    <xdr:from>
      <xdr:col>12</xdr:col>
      <xdr:colOff>80333</xdr:colOff>
      <xdr:row>5</xdr:row>
      <xdr:rowOff>55388</xdr:rowOff>
    </xdr:from>
    <xdr:to>
      <xdr:col>16</xdr:col>
      <xdr:colOff>589642</xdr:colOff>
      <xdr:row>7</xdr:row>
      <xdr:rowOff>56697</xdr:rowOff>
    </xdr:to>
    <xdr:sp macro="" textlink="">
      <xdr:nvSpPr>
        <xdr:cNvPr id="15" name="TextBox 14"/>
        <xdr:cNvSpPr txBox="1"/>
      </xdr:nvSpPr>
      <xdr:spPr>
        <a:xfrm>
          <a:off x="7428190" y="962531"/>
          <a:ext cx="2958595" cy="364166"/>
        </a:xfrm>
        <a:prstGeom prst="rect">
          <a:avLst/>
        </a:prstGeom>
        <a:noFill/>
        <a:ln w="9525" cmpd="sng">
          <a:noFill/>
        </a:ln>
        <a:effectLst>
          <a:outerShdw blurRad="50800" dist="38100" algn="l" rotWithShape="0">
            <a:schemeClr val="accent4">
              <a:lumMod val="40000"/>
              <a:lumOff val="6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baseline="0">
              <a:solidFill>
                <a:schemeClr val="tx2">
                  <a:lumMod val="50000"/>
                </a:schemeClr>
              </a:solidFill>
              <a:latin typeface="Arial" panose="020B0604020202020204" pitchFamily="34" charset="0"/>
              <a:ea typeface="+mn-ea"/>
              <a:cs typeface="Arial" panose="020B0604020202020204" pitchFamily="34" charset="0"/>
            </a:rPr>
            <a:t>Global</a:t>
          </a:r>
          <a:r>
            <a:rPr lang="en-US" sz="2400" b="1">
              <a:solidFill>
                <a:srgbClr val="751B1B"/>
              </a:solidFill>
              <a:latin typeface="Arial" panose="020B0604020202020204" pitchFamily="34" charset="0"/>
              <a:cs typeface="Arial" panose="020B0604020202020204" pitchFamily="34" charset="0"/>
            </a:rPr>
            <a:t> </a:t>
          </a:r>
          <a:r>
            <a:rPr lang="en-US" sz="2400" b="1" baseline="0">
              <a:solidFill>
                <a:schemeClr val="tx2">
                  <a:lumMod val="50000"/>
                </a:schemeClr>
              </a:solidFill>
              <a:latin typeface="Arial" panose="020B0604020202020204" pitchFamily="34" charset="0"/>
              <a:ea typeface="+mn-ea"/>
              <a:cs typeface="Arial" panose="020B0604020202020204" pitchFamily="34" charset="0"/>
            </a:rPr>
            <a:t>Defect</a:t>
          </a:r>
          <a:r>
            <a:rPr lang="en-US" sz="2400" b="1">
              <a:solidFill>
                <a:srgbClr val="751B1B"/>
              </a:solidFill>
              <a:latin typeface="Arial" panose="020B0604020202020204" pitchFamily="34" charset="0"/>
              <a:cs typeface="Arial" panose="020B0604020202020204" pitchFamily="34" charset="0"/>
            </a:rPr>
            <a:t> </a:t>
          </a:r>
          <a:r>
            <a:rPr lang="en-US" sz="2400" b="1">
              <a:solidFill>
                <a:schemeClr val="tx2">
                  <a:lumMod val="50000"/>
                </a:schemeClr>
              </a:solidFill>
              <a:latin typeface="Arial" panose="020B0604020202020204" pitchFamily="34" charset="0"/>
              <a:cs typeface="Arial" panose="020B0604020202020204" pitchFamily="34" charset="0"/>
            </a:rPr>
            <a:t>Rate</a:t>
          </a:r>
        </a:p>
      </xdr:txBody>
    </xdr:sp>
    <xdr:clientData/>
  </xdr:twoCellAnchor>
  <xdr:twoCellAnchor>
    <xdr:from>
      <xdr:col>10</xdr:col>
      <xdr:colOff>174755</xdr:colOff>
      <xdr:row>0</xdr:row>
      <xdr:rowOff>0</xdr:rowOff>
    </xdr:from>
    <xdr:to>
      <xdr:col>25</xdr:col>
      <xdr:colOff>340179</xdr:colOff>
      <xdr:row>3</xdr:row>
      <xdr:rowOff>138660</xdr:rowOff>
    </xdr:to>
    <xdr:sp macro="" textlink="">
      <xdr:nvSpPr>
        <xdr:cNvPr id="2" name="TextBox 1"/>
        <xdr:cNvSpPr txBox="1"/>
      </xdr:nvSpPr>
      <xdr:spPr>
        <a:xfrm>
          <a:off x="6297969" y="0"/>
          <a:ext cx="9350246" cy="68294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3200" b="1">
              <a:solidFill>
                <a:schemeClr val="bg1"/>
              </a:solidFill>
              <a:effectLst/>
              <a:latin typeface="Arial" panose="020B0604020202020204" pitchFamily="34" charset="0"/>
              <a:ea typeface="+mn-ea"/>
              <a:cs typeface="Arial" panose="020B0604020202020204" pitchFamily="34" charset="0"/>
            </a:rPr>
            <a:t>Executive Supply Chain Performance | Q1 2026</a:t>
          </a:r>
          <a:endParaRPr lang="en-US" sz="32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526338</xdr:colOff>
      <xdr:row>39</xdr:row>
      <xdr:rowOff>23091</xdr:rowOff>
    </xdr:from>
    <xdr:to>
      <xdr:col>8</xdr:col>
      <xdr:colOff>226787</xdr:colOff>
      <xdr:row>52</xdr:row>
      <xdr:rowOff>113393</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397049</xdr:colOff>
      <xdr:row>4</xdr:row>
      <xdr:rowOff>68384</xdr:rowOff>
    </xdr:from>
    <xdr:to>
      <xdr:col>29</xdr:col>
      <xdr:colOff>63673</xdr:colOff>
      <xdr:row>13</xdr:row>
      <xdr:rowOff>11340</xdr:rowOff>
    </xdr:to>
    <xdr:sp macro="" textlink="kpis!E4">
      <xdr:nvSpPr>
        <xdr:cNvPr id="23" name="Rounded Rectangle 22"/>
        <xdr:cNvSpPr/>
      </xdr:nvSpPr>
      <xdr:spPr>
        <a:xfrm>
          <a:off x="14480442" y="794098"/>
          <a:ext cx="3340552" cy="1575813"/>
        </a:xfrm>
        <a:prstGeom prst="roundRect">
          <a:avLst/>
        </a:prstGeom>
        <a:gradFill flip="none" rotWithShape="1">
          <a:gsLst>
            <a:gs pos="0">
              <a:schemeClr val="accent6">
                <a:lumMod val="89000"/>
                <a:alpha val="75000"/>
              </a:schemeClr>
            </a:gs>
            <a:gs pos="23000">
              <a:schemeClr val="accent6">
                <a:lumMod val="89000"/>
                <a:alpha val="88000"/>
              </a:schemeClr>
            </a:gs>
            <a:gs pos="69000">
              <a:schemeClr val="accent6">
                <a:lumMod val="75000"/>
                <a:alpha val="84000"/>
              </a:schemeClr>
            </a:gs>
            <a:gs pos="97000">
              <a:schemeClr val="accent6">
                <a:lumMod val="70000"/>
                <a:alpha val="90000"/>
              </a:schemeClr>
            </a:gs>
          </a:gsLst>
          <a:path path="circle">
            <a:fillToRect l="50000" t="50000" r="50000" b="50000"/>
          </a:path>
          <a:tileRect/>
        </a:gradFill>
        <a:ln>
          <a:noFill/>
        </a:ln>
        <a:effectLst>
          <a:innerShdw blurRad="63500" dist="114300" dir="2700000">
            <a:prstClr val="black">
              <a:alpha val="50000"/>
            </a:prstClr>
          </a:inn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164DE45C-6659-4E64-9633-5E69C08C8CEA}" type="TxLink">
            <a:rPr lang="en-US" sz="3200" b="0" i="0" u="none" strike="noStrike">
              <a:solidFill>
                <a:schemeClr val="bg1"/>
              </a:solidFill>
              <a:effectLst>
                <a:outerShdw blurRad="50800" dist="38100" dir="18900000" algn="bl" rotWithShape="0">
                  <a:prstClr val="black">
                    <a:alpha val="40000"/>
                  </a:prstClr>
                </a:outerShdw>
              </a:effectLst>
              <a:latin typeface="Arial" panose="020B0604020202020204" pitchFamily="34" charset="0"/>
              <a:ea typeface="Calibri"/>
              <a:cs typeface="Arial" panose="020B0604020202020204" pitchFamily="34" charset="0"/>
            </a:rPr>
            <a:pPr marL="0" indent="0" algn="ctr"/>
            <a:t>47272</a:t>
          </a:fld>
          <a:endParaRPr lang="en-US" sz="3200" b="0" i="0" u="none" strike="noStrike">
            <a:solidFill>
              <a:schemeClr val="bg1"/>
            </a:solidFill>
            <a:effectLst>
              <a:outerShdw blurRad="50800" dist="38100" dir="18900000" algn="bl" rotWithShape="0">
                <a:prstClr val="black">
                  <a:alpha val="40000"/>
                </a:prstClr>
              </a:outerShdw>
            </a:effectLst>
            <a:latin typeface="Arial" panose="020B0604020202020204" pitchFamily="34" charset="0"/>
            <a:ea typeface="Calibri"/>
            <a:cs typeface="Arial" panose="020B0604020202020204" pitchFamily="34" charset="0"/>
          </a:endParaRPr>
        </a:p>
      </xdr:txBody>
    </xdr:sp>
    <xdr:clientData/>
  </xdr:twoCellAnchor>
  <xdr:twoCellAnchor>
    <xdr:from>
      <xdr:col>24</xdr:col>
      <xdr:colOff>55475</xdr:colOff>
      <xdr:row>5</xdr:row>
      <xdr:rowOff>57394</xdr:rowOff>
    </xdr:from>
    <xdr:to>
      <xdr:col>27</xdr:col>
      <xdr:colOff>136071</xdr:colOff>
      <xdr:row>7</xdr:row>
      <xdr:rowOff>147411</xdr:rowOff>
    </xdr:to>
    <xdr:sp macro="" textlink="">
      <xdr:nvSpPr>
        <xdr:cNvPr id="5" name="TextBox 4"/>
        <xdr:cNvSpPr txBox="1"/>
      </xdr:nvSpPr>
      <xdr:spPr>
        <a:xfrm>
          <a:off x="14751189" y="964537"/>
          <a:ext cx="1917561" cy="452874"/>
        </a:xfrm>
        <a:prstGeom prst="rect">
          <a:avLst/>
        </a:prstGeom>
        <a:noFill/>
        <a:ln w="9525" cmpd="sng">
          <a:noFill/>
        </a:ln>
        <a:effectLst>
          <a:outerShdw blurRad="50800" dist="38100" algn="l" rotWithShape="0">
            <a:schemeClr val="accent4">
              <a:lumMod val="40000"/>
              <a:lumOff val="6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2">
                  <a:lumMod val="50000"/>
                </a:schemeClr>
              </a:solidFill>
              <a:latin typeface="Arial" panose="020B0604020202020204" pitchFamily="34" charset="0"/>
              <a:cs typeface="Arial" panose="020B0604020202020204" pitchFamily="34" charset="0"/>
            </a:rPr>
            <a:t>Units</a:t>
          </a:r>
          <a:r>
            <a:rPr lang="en-US" sz="2400" b="1" baseline="0">
              <a:solidFill>
                <a:schemeClr val="tx2">
                  <a:lumMod val="50000"/>
                </a:schemeClr>
              </a:solidFill>
              <a:latin typeface="Arial" panose="020B0604020202020204" pitchFamily="34" charset="0"/>
              <a:cs typeface="Arial" panose="020B0604020202020204" pitchFamily="34" charset="0"/>
            </a:rPr>
            <a:t> Sold</a:t>
          </a:r>
          <a:endParaRPr lang="en-US" sz="2400" b="1">
            <a:solidFill>
              <a:schemeClr val="tx2">
                <a:lumMod val="50000"/>
              </a:schemeClr>
            </a:solidFill>
            <a:latin typeface="Arial" panose="020B0604020202020204" pitchFamily="34" charset="0"/>
            <a:cs typeface="Arial" panose="020B0604020202020204" pitchFamily="34" charset="0"/>
          </a:endParaRPr>
        </a:p>
      </xdr:txBody>
    </xdr:sp>
    <xdr:clientData/>
  </xdr:twoCellAnchor>
  <xdr:twoCellAnchor>
    <xdr:from>
      <xdr:col>1</xdr:col>
      <xdr:colOff>127088</xdr:colOff>
      <xdr:row>16</xdr:row>
      <xdr:rowOff>36886</xdr:rowOff>
    </xdr:from>
    <xdr:to>
      <xdr:col>8</xdr:col>
      <xdr:colOff>162823</xdr:colOff>
      <xdr:row>19</xdr:row>
      <xdr:rowOff>17425</xdr:rowOff>
    </xdr:to>
    <xdr:sp macro="" textlink="">
      <xdr:nvSpPr>
        <xdr:cNvPr id="26" name="TextBox 25"/>
        <xdr:cNvSpPr txBox="1"/>
      </xdr:nvSpPr>
      <xdr:spPr>
        <a:xfrm>
          <a:off x="739409" y="2939743"/>
          <a:ext cx="4321985" cy="524825"/>
        </a:xfrm>
        <a:prstGeom prst="rect">
          <a:avLst/>
        </a:prstGeom>
        <a:noFill/>
        <a:ln w="9525" cmpd="sng">
          <a:noFill/>
        </a:ln>
        <a:effectLst>
          <a:outerShdw blurRad="50800" dist="38100" dir="2700000" algn="tl" rotWithShape="0">
            <a:schemeClr val="tx1">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latin typeface="Arial" panose="020B0604020202020204" pitchFamily="34" charset="0"/>
              <a:cs typeface="Arial" panose="020B0604020202020204" pitchFamily="34" charset="0"/>
            </a:rPr>
            <a:t>Product </a:t>
          </a:r>
          <a:r>
            <a:rPr lang="en-US" sz="2800" b="1">
              <a:solidFill>
                <a:schemeClr val="bg1"/>
              </a:solidFill>
              <a:effectLst/>
              <a:latin typeface="Arial" panose="020B0604020202020204" pitchFamily="34" charset="0"/>
              <a:ea typeface="+mn-ea"/>
              <a:cs typeface="Arial" panose="020B0604020202020204" pitchFamily="34" charset="0"/>
            </a:rPr>
            <a:t>Performance</a:t>
          </a:r>
        </a:p>
      </xdr:txBody>
    </xdr:sp>
    <xdr:clientData/>
  </xdr:twoCellAnchor>
  <xdr:twoCellAnchor>
    <xdr:from>
      <xdr:col>10</xdr:col>
      <xdr:colOff>584042</xdr:colOff>
      <xdr:row>16</xdr:row>
      <xdr:rowOff>33317</xdr:rowOff>
    </xdr:from>
    <xdr:to>
      <xdr:col>23</xdr:col>
      <xdr:colOff>211308</xdr:colOff>
      <xdr:row>19</xdr:row>
      <xdr:rowOff>121785</xdr:rowOff>
    </xdr:to>
    <xdr:sp macro="" textlink="">
      <xdr:nvSpPr>
        <xdr:cNvPr id="27" name="TextBox 26"/>
        <xdr:cNvSpPr txBox="1"/>
      </xdr:nvSpPr>
      <xdr:spPr>
        <a:xfrm>
          <a:off x="6707256" y="2936174"/>
          <a:ext cx="7587445" cy="632754"/>
        </a:xfrm>
        <a:prstGeom prst="rect">
          <a:avLst/>
        </a:prstGeom>
        <a:noFill/>
        <a:ln w="9525" cmpd="sng">
          <a:noFill/>
        </a:ln>
        <a:effectLst>
          <a:outerShdw blurRad="50800" dist="38100" dir="2700000" algn="tl" rotWithShape="0">
            <a:schemeClr val="tx1">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effectLst/>
              <a:latin typeface="Arial" panose="020B0604020202020204" pitchFamily="34" charset="0"/>
              <a:ea typeface="+mn-ea"/>
              <a:cs typeface="Arial" panose="020B0604020202020204" pitchFamily="34" charset="0"/>
            </a:rPr>
            <a:t>Operational</a:t>
          </a:r>
          <a:r>
            <a:rPr lang="en-US" sz="2800" b="1" baseline="0">
              <a:solidFill>
                <a:schemeClr val="bg1"/>
              </a:solidFill>
              <a:effectLst/>
              <a:latin typeface="Arial" panose="020B0604020202020204" pitchFamily="34" charset="0"/>
              <a:ea typeface="+mn-ea"/>
              <a:cs typeface="Arial" panose="020B0604020202020204" pitchFamily="34" charset="0"/>
            </a:rPr>
            <a:t> Performance</a:t>
          </a:r>
          <a:endParaRPr lang="en-US" sz="2800" b="1">
            <a:solidFill>
              <a:schemeClr val="bg1"/>
            </a:solidFill>
            <a:effectLst/>
            <a:latin typeface="Arial" panose="020B0604020202020204" pitchFamily="34" charset="0"/>
            <a:ea typeface="+mn-ea"/>
            <a:cs typeface="Arial" panose="020B0604020202020204" pitchFamily="34" charset="0"/>
          </a:endParaRPr>
        </a:p>
      </xdr:txBody>
    </xdr:sp>
    <xdr:clientData/>
  </xdr:twoCellAnchor>
  <xdr:twoCellAnchor>
    <xdr:from>
      <xdr:col>19</xdr:col>
      <xdr:colOff>442053</xdr:colOff>
      <xdr:row>16</xdr:row>
      <xdr:rowOff>31871</xdr:rowOff>
    </xdr:from>
    <xdr:to>
      <xdr:col>26</xdr:col>
      <xdr:colOff>477789</xdr:colOff>
      <xdr:row>19</xdr:row>
      <xdr:rowOff>15031</xdr:rowOff>
    </xdr:to>
    <xdr:sp macro="" textlink="">
      <xdr:nvSpPr>
        <xdr:cNvPr id="28" name="TextBox 27"/>
        <xdr:cNvSpPr txBox="1"/>
      </xdr:nvSpPr>
      <xdr:spPr>
        <a:xfrm>
          <a:off x="12076160" y="2934728"/>
          <a:ext cx="4321986" cy="527446"/>
        </a:xfrm>
        <a:prstGeom prst="rect">
          <a:avLst/>
        </a:prstGeom>
        <a:noFill/>
        <a:ln w="9525" cmpd="sng">
          <a:noFill/>
        </a:ln>
        <a:effectLst>
          <a:outerShdw blurRad="50800" dist="38100" dir="2700000" algn="tl" rotWithShape="0">
            <a:schemeClr val="tx1">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effectLst/>
              <a:latin typeface="Arial" panose="020B0604020202020204" pitchFamily="34" charset="0"/>
              <a:ea typeface="+mn-ea"/>
              <a:cs typeface="Arial" panose="020B0604020202020204" pitchFamily="34" charset="0"/>
            </a:rPr>
            <a:t>&amp; Quality</a:t>
          </a:r>
          <a:r>
            <a:rPr lang="en-US" sz="2800" b="1" baseline="0">
              <a:solidFill>
                <a:schemeClr val="bg1"/>
              </a:solidFill>
              <a:effectLst/>
              <a:latin typeface="Arial" panose="020B0604020202020204" pitchFamily="34" charset="0"/>
              <a:ea typeface="+mn-ea"/>
              <a:cs typeface="Arial" panose="020B0604020202020204" pitchFamily="34" charset="0"/>
            </a:rPr>
            <a:t> Control</a:t>
          </a:r>
        </a:p>
      </xdr:txBody>
    </xdr:sp>
    <xdr:clientData/>
  </xdr:twoCellAnchor>
  <xdr:twoCellAnchor>
    <xdr:from>
      <xdr:col>0</xdr:col>
      <xdr:colOff>533116</xdr:colOff>
      <xdr:row>21</xdr:row>
      <xdr:rowOff>67689</xdr:rowOff>
    </xdr:from>
    <xdr:to>
      <xdr:col>8</xdr:col>
      <xdr:colOff>199759</xdr:colOff>
      <xdr:row>36</xdr:row>
      <xdr:rowOff>0</xdr:rowOff>
    </xdr:to>
    <xdr:graphicFrame macro="">
      <xdr:nvGraphicFramePr>
        <xdr:cNvPr id="29" name="revenue &amp; profit by product"/>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124509</xdr:colOff>
      <xdr:row>21</xdr:row>
      <xdr:rowOff>37352</xdr:rowOff>
    </xdr:from>
    <xdr:to>
      <xdr:col>30</xdr:col>
      <xdr:colOff>136070</xdr:colOff>
      <xdr:row>34</xdr:row>
      <xdr:rowOff>131794</xdr:rowOff>
    </xdr:to>
    <xdr:graphicFrame macro="">
      <xdr:nvGraphicFramePr>
        <xdr:cNvPr id="30" name="shipping cost vs speed"/>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289649</xdr:colOff>
      <xdr:row>20</xdr:row>
      <xdr:rowOff>155966</xdr:rowOff>
    </xdr:from>
    <xdr:to>
      <xdr:col>19</xdr:col>
      <xdr:colOff>535392</xdr:colOff>
      <xdr:row>34</xdr:row>
      <xdr:rowOff>124510</xdr:rowOff>
    </xdr:to>
    <xdr:graphicFrame macro="">
      <xdr:nvGraphicFramePr>
        <xdr:cNvPr id="32" name="profit margin by hub"/>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523596</xdr:colOff>
      <xdr:row>19</xdr:row>
      <xdr:rowOff>161637</xdr:rowOff>
    </xdr:from>
    <xdr:to>
      <xdr:col>8</xdr:col>
      <xdr:colOff>222807</xdr:colOff>
      <xdr:row>22</xdr:row>
      <xdr:rowOff>57727</xdr:rowOff>
    </xdr:to>
    <xdr:sp macro="" textlink="">
      <xdr:nvSpPr>
        <xdr:cNvPr id="37" name="Rectangle 36"/>
        <xdr:cNvSpPr/>
      </xdr:nvSpPr>
      <xdr:spPr>
        <a:xfrm>
          <a:off x="523596" y="3608780"/>
          <a:ext cx="4597782" cy="440376"/>
        </a:xfrm>
        <a:prstGeom prst="rect">
          <a:avLst/>
        </a:prstGeom>
        <a:gradFill flip="none" rotWithShape="1">
          <a:gsLst>
            <a:gs pos="0">
              <a:schemeClr val="accent6">
                <a:lumMod val="75000"/>
              </a:schemeClr>
            </a:gs>
            <a:gs pos="23000">
              <a:schemeClr val="accent6">
                <a:lumMod val="75000"/>
              </a:schemeClr>
            </a:gs>
            <a:gs pos="69000">
              <a:schemeClr val="accent6">
                <a:lumMod val="75000"/>
              </a:schemeClr>
            </a:gs>
            <a:gs pos="97000">
              <a:schemeClr val="accent6">
                <a:lumMod val="70000"/>
              </a:schemeClr>
            </a:gs>
          </a:gsLst>
          <a:path path="circle">
            <a:fillToRect l="50000" t="50000" r="50000" b="50000"/>
          </a:path>
          <a:tileRect/>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latin typeface="Arial" panose="020B0604020202020204" pitchFamily="34" charset="0"/>
              <a:cs typeface="Arial" panose="020B0604020202020204" pitchFamily="34" charset="0"/>
            </a:rPr>
            <a:t>Revenue &amp; Profit</a:t>
          </a:r>
          <a:r>
            <a:rPr lang="en-US" sz="1800" b="1" baseline="0">
              <a:solidFill>
                <a:schemeClr val="bg1"/>
              </a:solidFill>
              <a:latin typeface="Arial" panose="020B0604020202020204" pitchFamily="34" charset="0"/>
              <a:cs typeface="Arial" panose="020B0604020202020204" pitchFamily="34" charset="0"/>
            </a:rPr>
            <a:t> by Product type</a:t>
          </a:r>
          <a:endParaRPr lang="en-US" sz="18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518939</xdr:colOff>
      <xdr:row>37</xdr:row>
      <xdr:rowOff>4827</xdr:rowOff>
    </xdr:from>
    <xdr:to>
      <xdr:col>8</xdr:col>
      <xdr:colOff>218150</xdr:colOff>
      <xdr:row>39</xdr:row>
      <xdr:rowOff>36635</xdr:rowOff>
    </xdr:to>
    <xdr:sp macro="" textlink="">
      <xdr:nvSpPr>
        <xdr:cNvPr id="38" name="Rectangle 37"/>
        <xdr:cNvSpPr/>
      </xdr:nvSpPr>
      <xdr:spPr>
        <a:xfrm>
          <a:off x="518939" y="6782231"/>
          <a:ext cx="4583826" cy="398154"/>
        </a:xfrm>
        <a:prstGeom prst="rect">
          <a:avLst/>
        </a:prstGeom>
        <a:gradFill flip="none" rotWithShape="1">
          <a:gsLst>
            <a:gs pos="0">
              <a:schemeClr val="accent6">
                <a:lumMod val="75000"/>
              </a:schemeClr>
            </a:gs>
            <a:gs pos="23000">
              <a:schemeClr val="accent6">
                <a:lumMod val="75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latin typeface="Arial" panose="020B0604020202020204" pitchFamily="34" charset="0"/>
              <a:cs typeface="Arial" panose="020B0604020202020204" pitchFamily="34" charset="0"/>
            </a:rPr>
            <a:t>Units</a:t>
          </a:r>
          <a:r>
            <a:rPr lang="en-US" sz="1800" b="1" baseline="0">
              <a:solidFill>
                <a:schemeClr val="bg1"/>
              </a:solidFill>
              <a:latin typeface="Arial" panose="020B0604020202020204" pitchFamily="34" charset="0"/>
              <a:cs typeface="Arial" panose="020B0604020202020204" pitchFamily="34" charset="0"/>
            </a:rPr>
            <a:t> Sold Vs. Stock Level</a:t>
          </a:r>
          <a:endParaRPr lang="en-US" sz="1800" b="1">
            <a:solidFill>
              <a:schemeClr val="bg1"/>
            </a:solidFill>
            <a:latin typeface="Arial" panose="020B0604020202020204" pitchFamily="34" charset="0"/>
            <a:cs typeface="Arial" panose="020B0604020202020204" pitchFamily="34" charset="0"/>
          </a:endParaRPr>
        </a:p>
      </xdr:txBody>
    </xdr:sp>
    <xdr:clientData/>
  </xdr:twoCellAnchor>
  <xdr:twoCellAnchor>
    <xdr:from>
      <xdr:col>9</xdr:col>
      <xdr:colOff>289650</xdr:colOff>
      <xdr:row>19</xdr:row>
      <xdr:rowOff>174314</xdr:rowOff>
    </xdr:from>
    <xdr:to>
      <xdr:col>19</xdr:col>
      <xdr:colOff>560294</xdr:colOff>
      <xdr:row>21</xdr:row>
      <xdr:rowOff>174313</xdr:rowOff>
    </xdr:to>
    <xdr:sp macro="" textlink="">
      <xdr:nvSpPr>
        <xdr:cNvPr id="39" name="Rectangle 38"/>
        <xdr:cNvSpPr/>
      </xdr:nvSpPr>
      <xdr:spPr>
        <a:xfrm>
          <a:off x="5780532" y="3722843"/>
          <a:ext cx="6371625" cy="373529"/>
        </a:xfrm>
        <a:prstGeom prst="rect">
          <a:avLst/>
        </a:prstGeom>
        <a:gradFill flip="none" rotWithShape="1">
          <a:gsLst>
            <a:gs pos="0">
              <a:schemeClr val="accent6">
                <a:lumMod val="75000"/>
              </a:schemeClr>
            </a:gs>
            <a:gs pos="23000">
              <a:schemeClr val="accent6">
                <a:lumMod val="75000"/>
              </a:schemeClr>
            </a:gs>
            <a:gs pos="69000">
              <a:schemeClr val="accent6">
                <a:lumMod val="75000"/>
              </a:schemeClr>
            </a:gs>
            <a:gs pos="97000">
              <a:schemeClr val="accent6">
                <a:lumMod val="70000"/>
              </a:schemeClr>
            </a:gs>
          </a:gsLst>
          <a:path path="circle">
            <a:fillToRect l="50000" t="50000" r="50000" b="50000"/>
          </a:path>
          <a:tileRect/>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baseline="0">
              <a:solidFill>
                <a:schemeClr val="bg1"/>
              </a:solidFill>
              <a:latin typeface="Arial" panose="020B0604020202020204" pitchFamily="34" charset="0"/>
              <a:cs typeface="Arial" panose="020B0604020202020204" pitchFamily="34" charset="0"/>
            </a:rPr>
            <a:t>Profit Margin by Regional Hub</a:t>
          </a:r>
          <a:endParaRPr lang="en-US" sz="1600" b="1">
            <a:solidFill>
              <a:schemeClr val="bg1"/>
            </a:solidFill>
            <a:latin typeface="Arial" panose="020B0604020202020204" pitchFamily="34" charset="0"/>
            <a:cs typeface="Arial" panose="020B0604020202020204" pitchFamily="34" charset="0"/>
          </a:endParaRPr>
        </a:p>
      </xdr:txBody>
    </xdr:sp>
    <xdr:clientData/>
  </xdr:twoCellAnchor>
  <xdr:twoCellAnchor>
    <xdr:from>
      <xdr:col>20</xdr:col>
      <xdr:colOff>113391</xdr:colOff>
      <xdr:row>19</xdr:row>
      <xdr:rowOff>170089</xdr:rowOff>
    </xdr:from>
    <xdr:to>
      <xdr:col>30</xdr:col>
      <xdr:colOff>147411</xdr:colOff>
      <xdr:row>22</xdr:row>
      <xdr:rowOff>87156</xdr:rowOff>
    </xdr:to>
    <xdr:sp macro="" textlink="">
      <xdr:nvSpPr>
        <xdr:cNvPr id="40" name="Rectangle 39"/>
        <xdr:cNvSpPr/>
      </xdr:nvSpPr>
      <xdr:spPr>
        <a:xfrm>
          <a:off x="12359820" y="3617232"/>
          <a:ext cx="6157234" cy="461353"/>
        </a:xfrm>
        <a:prstGeom prst="rect">
          <a:avLst/>
        </a:prstGeom>
        <a:gradFill flip="none" rotWithShape="1">
          <a:gsLst>
            <a:gs pos="0">
              <a:schemeClr val="accent6">
                <a:lumMod val="75000"/>
              </a:schemeClr>
            </a:gs>
            <a:gs pos="23000">
              <a:schemeClr val="accent6">
                <a:lumMod val="75000"/>
              </a:schemeClr>
            </a:gs>
            <a:gs pos="69000">
              <a:schemeClr val="accent6">
                <a:lumMod val="75000"/>
              </a:schemeClr>
            </a:gs>
            <a:gs pos="97000">
              <a:schemeClr val="accent6">
                <a:lumMod val="70000"/>
              </a:schemeClr>
            </a:gs>
          </a:gsLst>
          <a:path path="circle">
            <a:fillToRect l="50000" t="50000" r="50000" b="50000"/>
          </a:path>
          <a:tileRect/>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baseline="0">
              <a:solidFill>
                <a:schemeClr val="bg1"/>
              </a:solidFill>
              <a:latin typeface="Arial" panose="020B0604020202020204" pitchFamily="34" charset="0"/>
              <a:cs typeface="Arial" panose="020B0604020202020204" pitchFamily="34" charset="0"/>
            </a:rPr>
            <a:t>Shippping Cost Vs Speed</a:t>
          </a:r>
          <a:endParaRPr lang="en-US" sz="1600" b="1">
            <a:solidFill>
              <a:schemeClr val="bg1"/>
            </a:solidFill>
            <a:latin typeface="Arial" panose="020B0604020202020204" pitchFamily="34" charset="0"/>
            <a:cs typeface="Arial" panose="020B0604020202020204" pitchFamily="34" charset="0"/>
          </a:endParaRPr>
        </a:p>
      </xdr:txBody>
    </xdr:sp>
    <xdr:clientData/>
  </xdr:twoCellAnchor>
  <xdr:twoCellAnchor>
    <xdr:from>
      <xdr:col>9</xdr:col>
      <xdr:colOff>279479</xdr:colOff>
      <xdr:row>37</xdr:row>
      <xdr:rowOff>158352</xdr:rowOff>
    </xdr:from>
    <xdr:to>
      <xdr:col>15</xdr:col>
      <xdr:colOff>34018</xdr:colOff>
      <xdr:row>52</xdr:row>
      <xdr:rowOff>56697</xdr:rowOff>
    </xdr:to>
    <xdr:graphicFrame macro="">
      <xdr:nvGraphicFramePr>
        <xdr:cNvPr id="44" name="defect rate by transport"/>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306161</xdr:colOff>
      <xdr:row>37</xdr:row>
      <xdr:rowOff>181030</xdr:rowOff>
    </xdr:from>
    <xdr:to>
      <xdr:col>30</xdr:col>
      <xdr:colOff>238125</xdr:colOff>
      <xdr:row>52</xdr:row>
      <xdr:rowOff>68035</xdr:rowOff>
    </xdr:to>
    <xdr:graphicFrame macro="">
      <xdr:nvGraphicFramePr>
        <xdr:cNvPr id="45" name="defect rate by supplie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286695</xdr:colOff>
      <xdr:row>36</xdr:row>
      <xdr:rowOff>90279</xdr:rowOff>
    </xdr:from>
    <xdr:to>
      <xdr:col>15</xdr:col>
      <xdr:colOff>45356</xdr:colOff>
      <xdr:row>38</xdr:row>
      <xdr:rowOff>170089</xdr:rowOff>
    </xdr:to>
    <xdr:sp macro="" textlink="">
      <xdr:nvSpPr>
        <xdr:cNvPr id="42" name="Rectangle 41"/>
        <xdr:cNvSpPr/>
      </xdr:nvSpPr>
      <xdr:spPr>
        <a:xfrm>
          <a:off x="5797588" y="6621708"/>
          <a:ext cx="3432589" cy="442667"/>
        </a:xfrm>
        <a:prstGeom prst="rect">
          <a:avLst/>
        </a:prstGeom>
        <a:gradFill flip="none" rotWithShape="1">
          <a:gsLst>
            <a:gs pos="0">
              <a:schemeClr val="accent6">
                <a:lumMod val="75000"/>
              </a:schemeClr>
            </a:gs>
            <a:gs pos="23000">
              <a:schemeClr val="accent6">
                <a:lumMod val="75000"/>
              </a:schemeClr>
            </a:gs>
            <a:gs pos="69000">
              <a:schemeClr val="accent6">
                <a:lumMod val="75000"/>
              </a:schemeClr>
            </a:gs>
            <a:gs pos="97000">
              <a:schemeClr val="accent6">
                <a:lumMod val="70000"/>
              </a:schemeClr>
            </a:gs>
          </a:gsLst>
          <a:path path="circle">
            <a:fillToRect l="50000" t="50000" r="50000" b="50000"/>
          </a:path>
          <a:tileRect/>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baseline="0">
              <a:solidFill>
                <a:schemeClr val="bg1"/>
              </a:solidFill>
              <a:latin typeface="Arial" panose="020B0604020202020204" pitchFamily="34" charset="0"/>
              <a:cs typeface="Arial" panose="020B0604020202020204" pitchFamily="34" charset="0"/>
            </a:rPr>
            <a:t>Defect Rate by Transport Mode</a:t>
          </a:r>
          <a:endParaRPr lang="en-US" sz="1600" b="1">
            <a:solidFill>
              <a:schemeClr val="bg1"/>
            </a:solidFill>
            <a:latin typeface="Arial" panose="020B0604020202020204" pitchFamily="34" charset="0"/>
            <a:cs typeface="Arial" panose="020B0604020202020204" pitchFamily="34" charset="0"/>
          </a:endParaRPr>
        </a:p>
      </xdr:txBody>
    </xdr:sp>
    <xdr:clientData/>
  </xdr:twoCellAnchor>
  <xdr:twoCellAnchor>
    <xdr:from>
      <xdr:col>24</xdr:col>
      <xdr:colOff>306161</xdr:colOff>
      <xdr:row>36</xdr:row>
      <xdr:rowOff>90714</xdr:rowOff>
    </xdr:from>
    <xdr:to>
      <xdr:col>30</xdr:col>
      <xdr:colOff>283482</xdr:colOff>
      <xdr:row>38</xdr:row>
      <xdr:rowOff>170088</xdr:rowOff>
    </xdr:to>
    <xdr:sp macro="" textlink="">
      <xdr:nvSpPr>
        <xdr:cNvPr id="43" name="Rectangle 42"/>
        <xdr:cNvSpPr/>
      </xdr:nvSpPr>
      <xdr:spPr>
        <a:xfrm>
          <a:off x="15001875" y="6622143"/>
          <a:ext cx="3651250" cy="442231"/>
        </a:xfrm>
        <a:prstGeom prst="rect">
          <a:avLst/>
        </a:prstGeom>
        <a:gradFill flip="none" rotWithShape="1">
          <a:gsLst>
            <a:gs pos="0">
              <a:schemeClr val="accent6">
                <a:lumMod val="75000"/>
              </a:schemeClr>
            </a:gs>
            <a:gs pos="23000">
              <a:schemeClr val="accent6">
                <a:lumMod val="75000"/>
              </a:schemeClr>
            </a:gs>
            <a:gs pos="69000">
              <a:schemeClr val="accent6">
                <a:lumMod val="75000"/>
              </a:schemeClr>
            </a:gs>
            <a:gs pos="97000">
              <a:schemeClr val="accent6">
                <a:lumMod val="70000"/>
              </a:schemeClr>
            </a:gs>
          </a:gsLst>
          <a:path path="circle">
            <a:fillToRect l="50000" t="50000" r="50000" b="50000"/>
          </a:path>
          <a:tileRect/>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baseline="0">
              <a:solidFill>
                <a:schemeClr val="bg1"/>
              </a:solidFill>
              <a:latin typeface="Arial" panose="020B0604020202020204" pitchFamily="34" charset="0"/>
              <a:cs typeface="Arial" panose="020B0604020202020204" pitchFamily="34" charset="0"/>
            </a:rPr>
            <a:t>Defect Rate by Supplier</a:t>
          </a:r>
          <a:endParaRPr lang="en-US" sz="1600" b="1">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408214</xdr:colOff>
      <xdr:row>24</xdr:row>
      <xdr:rowOff>90714</xdr:rowOff>
    </xdr:from>
    <xdr:to>
      <xdr:col>2</xdr:col>
      <xdr:colOff>555625</xdr:colOff>
      <xdr:row>25</xdr:row>
      <xdr:rowOff>68036</xdr:rowOff>
    </xdr:to>
    <xdr:sp macro="" textlink="">
      <xdr:nvSpPr>
        <xdr:cNvPr id="47" name="Rectangle 46"/>
        <xdr:cNvSpPr/>
      </xdr:nvSpPr>
      <xdr:spPr>
        <a:xfrm>
          <a:off x="1632857" y="4445000"/>
          <a:ext cx="147411" cy="158750"/>
        </a:xfrm>
        <a:prstGeom prst="rect">
          <a:avLst/>
        </a:prstGeom>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clientData/>
  </xdr:twoCellAnchor>
  <xdr:twoCellAnchor>
    <xdr:from>
      <xdr:col>15</xdr:col>
      <xdr:colOff>204107</xdr:colOff>
      <xdr:row>37</xdr:row>
      <xdr:rowOff>79375</xdr:rowOff>
    </xdr:from>
    <xdr:to>
      <xdr:col>24</xdr:col>
      <xdr:colOff>147411</xdr:colOff>
      <xdr:row>52</xdr:row>
      <xdr:rowOff>74021</xdr:rowOff>
    </xdr:to>
    <xdr:graphicFrame macro="">
      <xdr:nvGraphicFramePr>
        <xdr:cNvPr id="48" name="led time  y supplier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195857</xdr:colOff>
      <xdr:row>36</xdr:row>
      <xdr:rowOff>1</xdr:rowOff>
    </xdr:from>
    <xdr:to>
      <xdr:col>24</xdr:col>
      <xdr:colOff>170089</xdr:colOff>
      <xdr:row>38</xdr:row>
      <xdr:rowOff>0</xdr:rowOff>
    </xdr:to>
    <xdr:sp macro="" textlink="">
      <xdr:nvSpPr>
        <xdr:cNvPr id="41" name="Rectangle 40"/>
        <xdr:cNvSpPr/>
      </xdr:nvSpPr>
      <xdr:spPr>
        <a:xfrm>
          <a:off x="9380678" y="6531430"/>
          <a:ext cx="5485125" cy="362856"/>
        </a:xfrm>
        <a:prstGeom prst="rect">
          <a:avLst/>
        </a:prstGeom>
        <a:gradFill flip="none" rotWithShape="1">
          <a:gsLst>
            <a:gs pos="0">
              <a:schemeClr val="accent6">
                <a:lumMod val="75000"/>
              </a:schemeClr>
            </a:gs>
            <a:gs pos="23000">
              <a:schemeClr val="accent6">
                <a:lumMod val="75000"/>
              </a:schemeClr>
            </a:gs>
            <a:gs pos="69000">
              <a:schemeClr val="accent6">
                <a:lumMod val="75000"/>
              </a:schemeClr>
            </a:gs>
            <a:gs pos="97000">
              <a:schemeClr val="accent6">
                <a:lumMod val="70000"/>
              </a:schemeClr>
            </a:gs>
          </a:gsLst>
          <a:path path="circle">
            <a:fillToRect l="50000" t="50000" r="50000" b="50000"/>
          </a:path>
          <a:tileRect/>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baseline="0">
              <a:solidFill>
                <a:schemeClr val="bg1"/>
              </a:solidFill>
              <a:latin typeface="Arial" panose="020B0604020202020204" pitchFamily="34" charset="0"/>
              <a:cs typeface="Arial" panose="020B0604020202020204" pitchFamily="34" charset="0"/>
            </a:rPr>
            <a:t>Avg. Lead Time by Supplier | in days</a:t>
          </a:r>
          <a:endParaRPr lang="en-US" sz="1600" b="1">
            <a:solidFill>
              <a:schemeClr val="bg1"/>
            </a:solidFill>
            <a:latin typeface="Arial" panose="020B0604020202020204" pitchFamily="34" charset="0"/>
            <a:cs typeface="Arial" panose="020B0604020202020204" pitchFamily="34" charset="0"/>
          </a:endParaRPr>
        </a:p>
      </xdr:txBody>
    </xdr:sp>
    <xdr:clientData/>
  </xdr:twoCellAnchor>
  <xdr:twoCellAnchor>
    <xdr:from>
      <xdr:col>6</xdr:col>
      <xdr:colOff>158750</xdr:colOff>
      <xdr:row>40</xdr:row>
      <xdr:rowOff>1</xdr:rowOff>
    </xdr:from>
    <xdr:to>
      <xdr:col>9</xdr:col>
      <xdr:colOff>170089</xdr:colOff>
      <xdr:row>51</xdr:row>
      <xdr:rowOff>56697</xdr:rowOff>
    </xdr:to>
    <xdr:sp macro="" textlink="">
      <xdr:nvSpPr>
        <xdr:cNvPr id="6" name="Round Diagonal Corner Rectangle 5"/>
        <xdr:cNvSpPr/>
      </xdr:nvSpPr>
      <xdr:spPr>
        <a:xfrm>
          <a:off x="3832679" y="7257144"/>
          <a:ext cx="1848303" cy="2052410"/>
        </a:xfrm>
        <a:prstGeom prst="round2DiagRect">
          <a:avLst/>
        </a:prstGeom>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000" b="1">
              <a:solidFill>
                <a:schemeClr val="tx1"/>
              </a:solidFill>
            </a:rPr>
            <a:t>Stockout Alert:</a:t>
          </a:r>
          <a:r>
            <a:rPr lang="en-US" sz="1000">
              <a:solidFill>
                <a:schemeClr val="tx1"/>
              </a:solidFill>
            </a:rPr>
            <a:t> High-demand SKUs (top-left) require immediate restock.</a:t>
          </a:r>
        </a:p>
        <a:p>
          <a:endParaRPr lang="en-US" sz="1000" b="1">
            <a:solidFill>
              <a:schemeClr val="tx1"/>
            </a:solidFill>
          </a:endParaRPr>
        </a:p>
        <a:p>
          <a:r>
            <a:rPr lang="en-US" sz="1000" b="1">
              <a:solidFill>
                <a:schemeClr val="tx1"/>
              </a:solidFill>
            </a:rPr>
            <a:t>Overstock Risk:</a:t>
          </a:r>
          <a:r>
            <a:rPr lang="en-US" sz="1000">
              <a:solidFill>
                <a:schemeClr val="tx1"/>
              </a:solidFill>
            </a:rPr>
            <a:t> Low-velocity "Zombie" items (bottom-right) are wasting warehouse space.</a:t>
          </a:r>
        </a:p>
        <a:p>
          <a:endParaRPr lang="en-US" sz="1000">
            <a:solidFill>
              <a:schemeClr val="tx1"/>
            </a:solidFill>
          </a:endParaRPr>
        </a:p>
        <a:p>
          <a:r>
            <a:rPr lang="en-US" sz="1000" b="1">
              <a:solidFill>
                <a:schemeClr val="tx1"/>
              </a:solidFill>
            </a:rPr>
            <a:t>Action:</a:t>
          </a:r>
          <a:r>
            <a:rPr lang="en-US" sz="1000">
              <a:solidFill>
                <a:schemeClr val="tx1"/>
              </a:solidFill>
            </a:rPr>
            <a:t> Liquidate bottom-right stock to free up capital.</a:t>
          </a:r>
        </a:p>
        <a:p>
          <a:pPr algn="l"/>
          <a:endParaRPr lang="en-US" sz="1000">
            <a:solidFill>
              <a:schemeClr val="tx1"/>
            </a:solidFill>
          </a:endParaRPr>
        </a:p>
      </xdr:txBody>
    </xdr:sp>
    <xdr:clientData/>
  </xdr:twoCellAnchor>
  <xdr:twoCellAnchor>
    <xdr:from>
      <xdr:col>27</xdr:col>
      <xdr:colOff>430892</xdr:colOff>
      <xdr:row>23</xdr:row>
      <xdr:rowOff>34018</xdr:rowOff>
    </xdr:from>
    <xdr:to>
      <xdr:col>27</xdr:col>
      <xdr:colOff>578303</xdr:colOff>
      <xdr:row>23</xdr:row>
      <xdr:rowOff>147411</xdr:rowOff>
    </xdr:to>
    <xdr:sp macro="" textlink="">
      <xdr:nvSpPr>
        <xdr:cNvPr id="11" name="Rectangle 10"/>
        <xdr:cNvSpPr/>
      </xdr:nvSpPr>
      <xdr:spPr>
        <a:xfrm>
          <a:off x="16963571" y="4206875"/>
          <a:ext cx="147411" cy="113393"/>
        </a:xfrm>
        <a:prstGeom prst="rect">
          <a:avLst/>
        </a:prstGeom>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476249</xdr:colOff>
      <xdr:row>24</xdr:row>
      <xdr:rowOff>90714</xdr:rowOff>
    </xdr:from>
    <xdr:to>
      <xdr:col>27</xdr:col>
      <xdr:colOff>578302</xdr:colOff>
      <xdr:row>25</xdr:row>
      <xdr:rowOff>0</xdr:rowOff>
    </xdr:to>
    <xdr:sp macro="" textlink="">
      <xdr:nvSpPr>
        <xdr:cNvPr id="16" name="Rectangle 15"/>
        <xdr:cNvSpPr/>
      </xdr:nvSpPr>
      <xdr:spPr>
        <a:xfrm>
          <a:off x="17008928" y="4445000"/>
          <a:ext cx="102053" cy="90714"/>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0</xdr:colOff>
      <xdr:row>24</xdr:row>
      <xdr:rowOff>11338</xdr:rowOff>
    </xdr:from>
    <xdr:to>
      <xdr:col>30</xdr:col>
      <xdr:colOff>124732</xdr:colOff>
      <xdr:row>25</xdr:row>
      <xdr:rowOff>68035</xdr:rowOff>
    </xdr:to>
    <xdr:sp macro="" textlink="">
      <xdr:nvSpPr>
        <xdr:cNvPr id="17" name="TextBox 16"/>
        <xdr:cNvSpPr txBox="1"/>
      </xdr:nvSpPr>
      <xdr:spPr>
        <a:xfrm>
          <a:off x="17145000" y="4365624"/>
          <a:ext cx="134937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Avg. Shipping</a:t>
          </a:r>
          <a:r>
            <a:rPr lang="en-US" sz="1100" baseline="0"/>
            <a:t> Time</a:t>
          </a:r>
          <a:endParaRPr lang="en-US" sz="1100"/>
        </a:p>
      </xdr:txBody>
    </xdr:sp>
    <xdr:clientData/>
  </xdr:twoCellAnchor>
  <xdr:twoCellAnchor>
    <xdr:from>
      <xdr:col>30</xdr:col>
      <xdr:colOff>408212</xdr:colOff>
      <xdr:row>25</xdr:row>
      <xdr:rowOff>136072</xdr:rowOff>
    </xdr:from>
    <xdr:to>
      <xdr:col>34</xdr:col>
      <xdr:colOff>484439</xdr:colOff>
      <xdr:row>52</xdr:row>
      <xdr:rowOff>158750</xdr:rowOff>
    </xdr:to>
    <xdr:sp macro="" textlink="">
      <xdr:nvSpPr>
        <xdr:cNvPr id="46" name="Round Same Side Corner Rectangle 45"/>
        <xdr:cNvSpPr/>
      </xdr:nvSpPr>
      <xdr:spPr>
        <a:xfrm flipH="1">
          <a:off x="18777855" y="4671786"/>
          <a:ext cx="2525513" cy="4921250"/>
        </a:xfrm>
        <a:prstGeom prst="round2SameRect">
          <a:avLst/>
        </a:prstGeom>
        <a:gradFill>
          <a:gsLst>
            <a:gs pos="0">
              <a:schemeClr val="tx2">
                <a:shade val="30000"/>
                <a:satMod val="115000"/>
              </a:schemeClr>
            </a:gs>
            <a:gs pos="50000">
              <a:schemeClr val="tx2">
                <a:shade val="67500"/>
                <a:satMod val="115000"/>
              </a:schemeClr>
            </a:gs>
            <a:gs pos="100000">
              <a:schemeClr val="tx2">
                <a:shade val="100000"/>
                <a:satMod val="115000"/>
              </a:schemeClr>
            </a:gs>
          </a:gsLst>
          <a:lin ang="5400000" scaled="1"/>
        </a:gradFill>
        <a:effectLst>
          <a:softEdge rad="3175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50</xdr:row>
      <xdr:rowOff>18595</xdr:rowOff>
    </xdr:from>
    <xdr:to>
      <xdr:col>0</xdr:col>
      <xdr:colOff>45719</xdr:colOff>
      <xdr:row>52</xdr:row>
      <xdr:rowOff>90713</xdr:rowOff>
    </xdr:to>
    <xdr:sp macro="" textlink="">
      <xdr:nvSpPr>
        <xdr:cNvPr id="2049" name="Text Box 1"/>
        <xdr:cNvSpPr txBox="1">
          <a:spLocks noChangeArrowheads="1"/>
        </xdr:cNvSpPr>
      </xdr:nvSpPr>
      <xdr:spPr bwMode="auto">
        <a:xfrm flipV="1">
          <a:off x="0" y="9090024"/>
          <a:ext cx="45719" cy="43497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100" b="0" i="0" u="none" strike="noStrike" baseline="0">
              <a:solidFill>
                <a:srgbClr val="000000"/>
              </a:solidFill>
              <a:latin typeface="Calibri"/>
              <a:ea typeface="Calibri"/>
              <a:cs typeface="Calibri"/>
            </a:rPr>
            <a:t>Strategic Summary:</a:t>
          </a:r>
        </a:p>
      </xdr:txBody>
    </xdr:sp>
    <xdr:clientData/>
  </xdr:twoCellAnchor>
  <xdr:twoCellAnchor>
    <xdr:from>
      <xdr:col>30</xdr:col>
      <xdr:colOff>419554</xdr:colOff>
      <xdr:row>31</xdr:row>
      <xdr:rowOff>136071</xdr:rowOff>
    </xdr:from>
    <xdr:to>
      <xdr:col>32</xdr:col>
      <xdr:colOff>464910</xdr:colOff>
      <xdr:row>33</xdr:row>
      <xdr:rowOff>158749</xdr:rowOff>
    </xdr:to>
    <xdr:sp macro="" textlink="">
      <xdr:nvSpPr>
        <xdr:cNvPr id="21" name="Rectangle 20"/>
        <xdr:cNvSpPr/>
      </xdr:nvSpPr>
      <xdr:spPr>
        <a:xfrm>
          <a:off x="18789197" y="5760357"/>
          <a:ext cx="1269999" cy="385535"/>
        </a:xfrm>
        <a:prstGeom prst="rect">
          <a:avLst/>
        </a:prstGeom>
        <a:gradFill flip="none" rotWithShape="1">
          <a:gsLst>
            <a:gs pos="0">
              <a:schemeClr val="accent6">
                <a:lumMod val="89000"/>
                <a:alpha val="75000"/>
              </a:schemeClr>
            </a:gs>
            <a:gs pos="23000">
              <a:schemeClr val="accent6">
                <a:lumMod val="89000"/>
                <a:alpha val="88000"/>
              </a:schemeClr>
            </a:gs>
            <a:gs pos="69000">
              <a:schemeClr val="accent6">
                <a:lumMod val="75000"/>
                <a:alpha val="84000"/>
              </a:schemeClr>
            </a:gs>
            <a:gs pos="97000">
              <a:schemeClr val="accent6">
                <a:lumMod val="70000"/>
                <a:alpha val="90000"/>
              </a:schemeClr>
            </a:gs>
          </a:gsLst>
          <a:path path="circle">
            <a:fillToRect l="50000" t="50000" r="50000" b="50000"/>
          </a:path>
          <a:tileRect/>
        </a:gradFill>
        <a:ln>
          <a:noFill/>
        </a:ln>
        <a:effectLst>
          <a:innerShdw blurRad="63500" dist="114300" dir="2700000">
            <a:prstClr val="black">
              <a:alpha val="50000"/>
            </a:prstClr>
          </a:inn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bg1"/>
              </a:solidFill>
              <a:effectLst>
                <a:outerShdw blurRad="50800" dist="38100" dir="18900000" algn="bl" rotWithShape="0">
                  <a:prstClr val="black">
                    <a:alpha val="40000"/>
                  </a:prstClr>
                </a:outerShdw>
              </a:effectLst>
              <a:latin typeface="Arial" panose="020B0604020202020204" pitchFamily="34" charset="0"/>
              <a:ea typeface="Calibri"/>
              <a:cs typeface="Arial" panose="020B0604020202020204" pitchFamily="34" charset="0"/>
            </a:rPr>
            <a:t>Top Margin</a:t>
          </a:r>
        </a:p>
      </xdr:txBody>
    </xdr:sp>
    <xdr:clientData/>
  </xdr:twoCellAnchor>
  <xdr:twoCellAnchor>
    <xdr:from>
      <xdr:col>30</xdr:col>
      <xdr:colOff>521607</xdr:colOff>
      <xdr:row>27</xdr:row>
      <xdr:rowOff>34018</xdr:rowOff>
    </xdr:from>
    <xdr:to>
      <xdr:col>34</xdr:col>
      <xdr:colOff>453571</xdr:colOff>
      <xdr:row>29</xdr:row>
      <xdr:rowOff>147410</xdr:rowOff>
    </xdr:to>
    <xdr:sp macro="" textlink="">
      <xdr:nvSpPr>
        <xdr:cNvPr id="19" name="TextBox 18"/>
        <xdr:cNvSpPr txBox="1"/>
      </xdr:nvSpPr>
      <xdr:spPr>
        <a:xfrm>
          <a:off x="18891250" y="4932589"/>
          <a:ext cx="23812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baseline="0">
              <a:solidFill>
                <a:schemeClr val="bg1"/>
              </a:solidFill>
              <a:effectLst/>
              <a:latin typeface="Arial" panose="020B0604020202020204" pitchFamily="34" charset="0"/>
              <a:ea typeface="+mn-ea"/>
              <a:cs typeface="Arial" panose="020B0604020202020204" pitchFamily="34" charset="0"/>
            </a:rPr>
            <a:t>Strategic Summary</a:t>
          </a:r>
          <a:r>
            <a:rPr lang="en-US" sz="1800" b="1">
              <a:solidFill>
                <a:schemeClr val="bg1"/>
              </a:solidFill>
            </a:rPr>
            <a:t> </a:t>
          </a:r>
        </a:p>
      </xdr:txBody>
    </xdr:sp>
    <xdr:clientData/>
  </xdr:twoCellAnchor>
  <xdr:twoCellAnchor>
    <xdr:from>
      <xdr:col>30</xdr:col>
      <xdr:colOff>419554</xdr:colOff>
      <xdr:row>36</xdr:row>
      <xdr:rowOff>147410</xdr:rowOff>
    </xdr:from>
    <xdr:to>
      <xdr:col>32</xdr:col>
      <xdr:colOff>385535</xdr:colOff>
      <xdr:row>38</xdr:row>
      <xdr:rowOff>147410</xdr:rowOff>
    </xdr:to>
    <xdr:sp macro="" textlink="">
      <xdr:nvSpPr>
        <xdr:cNvPr id="53" name="Rectangle 52"/>
        <xdr:cNvSpPr/>
      </xdr:nvSpPr>
      <xdr:spPr>
        <a:xfrm>
          <a:off x="18789197" y="6678839"/>
          <a:ext cx="1190624" cy="362857"/>
        </a:xfrm>
        <a:prstGeom prst="rect">
          <a:avLst/>
        </a:prstGeom>
        <a:gradFill flip="none" rotWithShape="1">
          <a:gsLst>
            <a:gs pos="0">
              <a:schemeClr val="accent6">
                <a:lumMod val="89000"/>
                <a:alpha val="75000"/>
              </a:schemeClr>
            </a:gs>
            <a:gs pos="23000">
              <a:schemeClr val="accent6">
                <a:lumMod val="89000"/>
                <a:alpha val="88000"/>
              </a:schemeClr>
            </a:gs>
            <a:gs pos="69000">
              <a:schemeClr val="accent6">
                <a:lumMod val="75000"/>
                <a:alpha val="84000"/>
              </a:schemeClr>
            </a:gs>
            <a:gs pos="97000">
              <a:schemeClr val="accent6">
                <a:lumMod val="70000"/>
                <a:alpha val="90000"/>
              </a:schemeClr>
            </a:gs>
          </a:gsLst>
          <a:path path="circle">
            <a:fillToRect l="50000" t="50000" r="50000" b="50000"/>
          </a:path>
          <a:tileRect/>
        </a:gradFill>
        <a:ln>
          <a:noFill/>
        </a:ln>
        <a:effectLst>
          <a:innerShdw blurRad="63500" dist="114300" dir="2700000">
            <a:prstClr val="black">
              <a:alpha val="50000"/>
            </a:prstClr>
          </a:inn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bg1"/>
              </a:solidFill>
              <a:effectLst>
                <a:outerShdw blurRad="50800" dist="38100" dir="18900000" algn="bl" rotWithShape="0">
                  <a:prstClr val="black">
                    <a:alpha val="40000"/>
                  </a:prstClr>
                </a:outerShdw>
              </a:effectLst>
              <a:latin typeface="Arial" panose="020B0604020202020204" pitchFamily="34" charset="0"/>
              <a:ea typeface="Calibri"/>
              <a:cs typeface="Arial" panose="020B0604020202020204" pitchFamily="34" charset="0"/>
            </a:rPr>
            <a:t>Risk Alert </a:t>
          </a:r>
        </a:p>
      </xdr:txBody>
    </xdr:sp>
    <xdr:clientData/>
  </xdr:twoCellAnchor>
  <xdr:twoCellAnchor>
    <xdr:from>
      <xdr:col>30</xdr:col>
      <xdr:colOff>419555</xdr:colOff>
      <xdr:row>42</xdr:row>
      <xdr:rowOff>102054</xdr:rowOff>
    </xdr:from>
    <xdr:to>
      <xdr:col>32</xdr:col>
      <xdr:colOff>396876</xdr:colOff>
      <xdr:row>44</xdr:row>
      <xdr:rowOff>79374</xdr:rowOff>
    </xdr:to>
    <xdr:sp macro="" textlink="">
      <xdr:nvSpPr>
        <xdr:cNvPr id="54" name="Rectangle 53"/>
        <xdr:cNvSpPr/>
      </xdr:nvSpPr>
      <xdr:spPr>
        <a:xfrm>
          <a:off x="18789198" y="7722054"/>
          <a:ext cx="1201964" cy="340177"/>
        </a:xfrm>
        <a:prstGeom prst="rect">
          <a:avLst/>
        </a:prstGeom>
        <a:gradFill flip="none" rotWithShape="1">
          <a:gsLst>
            <a:gs pos="0">
              <a:schemeClr val="accent6">
                <a:lumMod val="89000"/>
                <a:alpha val="75000"/>
              </a:schemeClr>
            </a:gs>
            <a:gs pos="23000">
              <a:schemeClr val="accent6">
                <a:lumMod val="89000"/>
                <a:alpha val="88000"/>
              </a:schemeClr>
            </a:gs>
            <a:gs pos="69000">
              <a:schemeClr val="accent6">
                <a:lumMod val="75000"/>
                <a:alpha val="84000"/>
              </a:schemeClr>
            </a:gs>
            <a:gs pos="97000">
              <a:schemeClr val="accent6">
                <a:lumMod val="70000"/>
                <a:alpha val="90000"/>
              </a:schemeClr>
            </a:gs>
          </a:gsLst>
          <a:path path="circle">
            <a:fillToRect l="50000" t="50000" r="50000" b="50000"/>
          </a:path>
          <a:tileRect/>
        </a:gradFill>
        <a:ln>
          <a:noFill/>
        </a:ln>
        <a:effectLst>
          <a:innerShdw blurRad="63500" dist="114300" dir="2700000">
            <a:prstClr val="black">
              <a:alpha val="50000"/>
            </a:prstClr>
          </a:inn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bg1"/>
              </a:solidFill>
              <a:effectLst>
                <a:outerShdw blurRad="50800" dist="38100" dir="18900000" algn="bl" rotWithShape="0">
                  <a:prstClr val="black">
                    <a:alpha val="40000"/>
                  </a:prstClr>
                </a:outerShdw>
              </a:effectLst>
              <a:latin typeface="Arial" panose="020B0604020202020204" pitchFamily="34" charset="0"/>
              <a:ea typeface="Calibri"/>
              <a:cs typeface="Arial" panose="020B0604020202020204" pitchFamily="34" charset="0"/>
            </a:rPr>
            <a:t>Lead</a:t>
          </a:r>
          <a:r>
            <a:rPr lang="en-US" sz="1600" b="0" i="0" u="none" strike="noStrike" baseline="0">
              <a:solidFill>
                <a:schemeClr val="bg1"/>
              </a:solidFill>
              <a:effectLst>
                <a:outerShdw blurRad="50800" dist="38100" dir="18900000" algn="bl" rotWithShape="0">
                  <a:prstClr val="black">
                    <a:alpha val="40000"/>
                  </a:prstClr>
                </a:outerShdw>
              </a:effectLst>
              <a:latin typeface="Arial" panose="020B0604020202020204" pitchFamily="34" charset="0"/>
              <a:ea typeface="Calibri"/>
              <a:cs typeface="Arial" panose="020B0604020202020204" pitchFamily="34" charset="0"/>
            </a:rPr>
            <a:t> Time</a:t>
          </a:r>
          <a:endParaRPr lang="en-US" sz="1600" b="0" i="0" u="none" strike="noStrike">
            <a:solidFill>
              <a:schemeClr val="bg1"/>
            </a:solidFill>
            <a:effectLst>
              <a:outerShdw blurRad="50800" dist="38100" dir="18900000" algn="bl" rotWithShape="0">
                <a:prstClr val="black">
                  <a:alpha val="40000"/>
                </a:prstClr>
              </a:outerShdw>
            </a:effectLst>
            <a:latin typeface="Arial" panose="020B0604020202020204" pitchFamily="34" charset="0"/>
            <a:ea typeface="Calibri"/>
            <a:cs typeface="Arial" panose="020B0604020202020204" pitchFamily="34" charset="0"/>
          </a:endParaRPr>
        </a:p>
      </xdr:txBody>
    </xdr:sp>
    <xdr:clientData/>
  </xdr:twoCellAnchor>
  <xdr:twoCellAnchor>
    <xdr:from>
      <xdr:col>30</xdr:col>
      <xdr:colOff>408212</xdr:colOff>
      <xdr:row>47</xdr:row>
      <xdr:rowOff>22678</xdr:rowOff>
    </xdr:from>
    <xdr:to>
      <xdr:col>32</xdr:col>
      <xdr:colOff>374196</xdr:colOff>
      <xdr:row>49</xdr:row>
      <xdr:rowOff>22676</xdr:rowOff>
    </xdr:to>
    <xdr:sp macro="" textlink="">
      <xdr:nvSpPr>
        <xdr:cNvPr id="55" name="Rectangle 54"/>
        <xdr:cNvSpPr/>
      </xdr:nvSpPr>
      <xdr:spPr>
        <a:xfrm>
          <a:off x="18777855" y="8549821"/>
          <a:ext cx="1190627" cy="362855"/>
        </a:xfrm>
        <a:prstGeom prst="rect">
          <a:avLst/>
        </a:prstGeom>
        <a:gradFill flip="none" rotWithShape="1">
          <a:gsLst>
            <a:gs pos="0">
              <a:schemeClr val="accent6">
                <a:lumMod val="89000"/>
                <a:alpha val="75000"/>
              </a:schemeClr>
            </a:gs>
            <a:gs pos="23000">
              <a:schemeClr val="accent6">
                <a:lumMod val="89000"/>
                <a:alpha val="88000"/>
              </a:schemeClr>
            </a:gs>
            <a:gs pos="69000">
              <a:schemeClr val="accent6">
                <a:lumMod val="75000"/>
                <a:alpha val="84000"/>
              </a:schemeClr>
            </a:gs>
            <a:gs pos="97000">
              <a:schemeClr val="accent6">
                <a:lumMod val="70000"/>
                <a:alpha val="90000"/>
              </a:schemeClr>
            </a:gs>
          </a:gsLst>
          <a:path path="circle">
            <a:fillToRect l="50000" t="50000" r="50000" b="50000"/>
          </a:path>
          <a:tileRect/>
        </a:gradFill>
        <a:ln>
          <a:noFill/>
        </a:ln>
        <a:effectLst>
          <a:innerShdw blurRad="63500" dist="114300" dir="2700000">
            <a:prstClr val="black">
              <a:alpha val="50000"/>
            </a:prstClr>
          </a:inn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bg1"/>
              </a:solidFill>
              <a:effectLst>
                <a:outerShdw blurRad="50800" dist="38100" dir="18900000" algn="bl" rotWithShape="0">
                  <a:prstClr val="black">
                    <a:alpha val="40000"/>
                  </a:prstClr>
                </a:outerShdw>
              </a:effectLst>
              <a:latin typeface="Arial" panose="020B0604020202020204" pitchFamily="34" charset="0"/>
              <a:ea typeface="Calibri"/>
              <a:cs typeface="Arial" panose="020B0604020202020204" pitchFamily="34" charset="0"/>
            </a:rPr>
            <a:t>Inventory</a:t>
          </a:r>
        </a:p>
      </xdr:txBody>
    </xdr:sp>
    <xdr:clientData/>
  </xdr:twoCellAnchor>
  <xdr:twoCellAnchor>
    <xdr:from>
      <xdr:col>30</xdr:col>
      <xdr:colOff>578304</xdr:colOff>
      <xdr:row>5</xdr:row>
      <xdr:rowOff>22678</xdr:rowOff>
    </xdr:from>
    <xdr:to>
      <xdr:col>34</xdr:col>
      <xdr:colOff>226787</xdr:colOff>
      <xdr:row>6</xdr:row>
      <xdr:rowOff>90714</xdr:rowOff>
    </xdr:to>
    <xdr:sp macro="" textlink="">
      <xdr:nvSpPr>
        <xdr:cNvPr id="20" name="TextBox 19"/>
        <xdr:cNvSpPr txBox="1"/>
      </xdr:nvSpPr>
      <xdr:spPr>
        <a:xfrm>
          <a:off x="18947947" y="929821"/>
          <a:ext cx="2097769" cy="249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latin typeface="Arial" panose="020B0604020202020204" pitchFamily="34" charset="0"/>
              <a:cs typeface="Arial" panose="020B0604020202020204" pitchFamily="34" charset="0"/>
            </a:rPr>
            <a:t>Slicers</a:t>
          </a:r>
        </a:p>
      </xdr:txBody>
    </xdr:sp>
    <xdr:clientData/>
  </xdr:twoCellAnchor>
  <xdr:twoCellAnchor>
    <xdr:from>
      <xdr:col>31</xdr:col>
      <xdr:colOff>45358</xdr:colOff>
      <xdr:row>28</xdr:row>
      <xdr:rowOff>90715</xdr:rowOff>
    </xdr:from>
    <xdr:to>
      <xdr:col>34</xdr:col>
      <xdr:colOff>283482</xdr:colOff>
      <xdr:row>29</xdr:row>
      <xdr:rowOff>102054</xdr:rowOff>
    </xdr:to>
    <xdr:sp macro="" textlink="">
      <xdr:nvSpPr>
        <xdr:cNvPr id="25" name="Rectangle 24"/>
        <xdr:cNvSpPr/>
      </xdr:nvSpPr>
      <xdr:spPr>
        <a:xfrm>
          <a:off x="19027322" y="5170715"/>
          <a:ext cx="2075089" cy="1927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________________________</a:t>
          </a:r>
        </a:p>
      </xdr:txBody>
    </xdr:sp>
    <xdr:clientData/>
  </xdr:twoCellAnchor>
  <xdr:twoCellAnchor>
    <xdr:from>
      <xdr:col>30</xdr:col>
      <xdr:colOff>419551</xdr:colOff>
      <xdr:row>34</xdr:row>
      <xdr:rowOff>11339</xdr:rowOff>
    </xdr:from>
    <xdr:to>
      <xdr:col>34</xdr:col>
      <xdr:colOff>362856</xdr:colOff>
      <xdr:row>37</xdr:row>
      <xdr:rowOff>34017</xdr:rowOff>
    </xdr:to>
    <xdr:sp macro="" textlink="">
      <xdr:nvSpPr>
        <xdr:cNvPr id="31" name="TextBox 30"/>
        <xdr:cNvSpPr txBox="1"/>
      </xdr:nvSpPr>
      <xdr:spPr>
        <a:xfrm>
          <a:off x="18789194" y="6179910"/>
          <a:ext cx="2392591" cy="566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300">
              <a:solidFill>
                <a:schemeClr val="bg1"/>
              </a:solidFill>
              <a:latin typeface="Arial" panose="020B0604020202020204" pitchFamily="34" charset="0"/>
              <a:cs typeface="Arial" panose="020B0604020202020204" pitchFamily="34" charset="0"/>
            </a:rPr>
            <a:t>West Coast Hub leads at 57%</a:t>
          </a:r>
        </a:p>
        <a:p>
          <a:pPr marL="0" marR="0" indent="0" defTabSz="914400" eaLnBrk="1" fontAlgn="auto" latinLnBrk="0" hangingPunct="1">
            <a:lnSpc>
              <a:spcPct val="100000"/>
            </a:lnSpc>
            <a:spcBef>
              <a:spcPts val="0"/>
            </a:spcBef>
            <a:spcAft>
              <a:spcPts val="0"/>
            </a:spcAft>
            <a:buClrTx/>
            <a:buSzTx/>
            <a:buFontTx/>
            <a:buNone/>
            <a:tabLst/>
            <a:defRPr/>
          </a:pPr>
          <a:r>
            <a:rPr lang="en-US" sz="1300">
              <a:solidFill>
                <a:schemeClr val="bg1"/>
              </a:solidFill>
              <a:latin typeface="Arial" panose="020B0604020202020204" pitchFamily="34" charset="0"/>
              <a:cs typeface="Arial" panose="020B0604020202020204" pitchFamily="34" charset="0"/>
            </a:rPr>
            <a:t>Replicate their logistic model. </a:t>
          </a:r>
        </a:p>
        <a:p>
          <a:endParaRPr lang="en-US" sz="1300">
            <a:solidFill>
              <a:schemeClr val="bg1"/>
            </a:solidFill>
            <a:latin typeface="Arial" panose="020B0604020202020204" pitchFamily="34" charset="0"/>
            <a:cs typeface="Arial" panose="020B0604020202020204" pitchFamily="34" charset="0"/>
          </a:endParaRPr>
        </a:p>
      </xdr:txBody>
    </xdr:sp>
    <xdr:clientData/>
  </xdr:twoCellAnchor>
  <xdr:twoCellAnchor>
    <xdr:from>
      <xdr:col>30</xdr:col>
      <xdr:colOff>408207</xdr:colOff>
      <xdr:row>38</xdr:row>
      <xdr:rowOff>147410</xdr:rowOff>
    </xdr:from>
    <xdr:to>
      <xdr:col>34</xdr:col>
      <xdr:colOff>476242</xdr:colOff>
      <xdr:row>42</xdr:row>
      <xdr:rowOff>158750</xdr:rowOff>
    </xdr:to>
    <xdr:sp macro="" textlink="">
      <xdr:nvSpPr>
        <xdr:cNvPr id="33" name="TextBox 32"/>
        <xdr:cNvSpPr txBox="1"/>
      </xdr:nvSpPr>
      <xdr:spPr>
        <a:xfrm rot="10800000" flipV="1">
          <a:off x="18777850" y="7041696"/>
          <a:ext cx="2517321" cy="737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300">
              <a:solidFill>
                <a:schemeClr val="bg1"/>
              </a:solidFill>
              <a:latin typeface="Arial" panose="020B0604020202020204" pitchFamily="34" charset="0"/>
              <a:cs typeface="Arial" panose="020B0604020202020204" pitchFamily="34" charset="0"/>
            </a:rPr>
            <a:t>Road transport causes 76% of defects. Shift high-value stock to Rail.</a:t>
          </a:r>
        </a:p>
        <a:p>
          <a:endParaRPr lang="en-US" sz="1300">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30</xdr:col>
      <xdr:colOff>430894</xdr:colOff>
      <xdr:row>44</xdr:row>
      <xdr:rowOff>102054</xdr:rowOff>
    </xdr:from>
    <xdr:to>
      <xdr:col>34</xdr:col>
      <xdr:colOff>589642</xdr:colOff>
      <xdr:row>47</xdr:row>
      <xdr:rowOff>56696</xdr:rowOff>
    </xdr:to>
    <xdr:sp macro="" textlink="">
      <xdr:nvSpPr>
        <xdr:cNvPr id="34" name="TextBox 33"/>
        <xdr:cNvSpPr txBox="1"/>
      </xdr:nvSpPr>
      <xdr:spPr>
        <a:xfrm>
          <a:off x="18800537" y="8084911"/>
          <a:ext cx="2608034" cy="498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200">
              <a:solidFill>
                <a:schemeClr val="bg1"/>
              </a:solidFill>
              <a:latin typeface="Arial" panose="020B0604020202020204" pitchFamily="34" charset="0"/>
              <a:cs typeface="Arial" panose="020B0604020202020204" pitchFamily="34" charset="0"/>
            </a:rPr>
            <a:t>Audit Elite Quality Parts to reduce current 17day delays.</a:t>
          </a:r>
        </a:p>
        <a:p>
          <a:endParaRPr lang="en-US" sz="1200">
            <a:solidFill>
              <a:schemeClr val="bg1"/>
            </a:solidFill>
            <a:latin typeface="Arial" panose="020B0604020202020204" pitchFamily="34" charset="0"/>
            <a:cs typeface="Arial" panose="020B0604020202020204" pitchFamily="34" charset="0"/>
          </a:endParaRPr>
        </a:p>
      </xdr:txBody>
    </xdr:sp>
    <xdr:clientData/>
  </xdr:twoCellAnchor>
  <xdr:twoCellAnchor>
    <xdr:from>
      <xdr:col>30</xdr:col>
      <xdr:colOff>430893</xdr:colOff>
      <xdr:row>49</xdr:row>
      <xdr:rowOff>45356</xdr:rowOff>
    </xdr:from>
    <xdr:to>
      <xdr:col>34</xdr:col>
      <xdr:colOff>408214</xdr:colOff>
      <xdr:row>51</xdr:row>
      <xdr:rowOff>170088</xdr:rowOff>
    </xdr:to>
    <xdr:sp macro="" textlink="">
      <xdr:nvSpPr>
        <xdr:cNvPr id="35" name="TextBox 34"/>
        <xdr:cNvSpPr txBox="1"/>
      </xdr:nvSpPr>
      <xdr:spPr>
        <a:xfrm>
          <a:off x="18800536" y="8935356"/>
          <a:ext cx="2426607" cy="487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200">
              <a:solidFill>
                <a:schemeClr val="bg1"/>
              </a:solidFill>
              <a:latin typeface="Arial" panose="020B0604020202020204" pitchFamily="34" charset="0"/>
              <a:cs typeface="Arial" panose="020B0604020202020204" pitchFamily="34" charset="0"/>
            </a:rPr>
            <a:t>Liquidate "Zombie" stock to boost cash flow.</a:t>
          </a:r>
        </a:p>
        <a:p>
          <a:endParaRPr lang="en-US" sz="1200">
            <a:solidFill>
              <a:schemeClr val="bg1"/>
            </a:solidFill>
            <a:latin typeface="Arial" panose="020B0604020202020204" pitchFamily="34" charset="0"/>
            <a:cs typeface="Arial" panose="020B0604020202020204" pitchFamily="34" charset="0"/>
          </a:endParaRPr>
        </a:p>
      </xdr:txBody>
    </xdr:sp>
    <xdr:clientData/>
  </xdr:twoCellAnchor>
  <xdr:twoCellAnchor>
    <xdr:from>
      <xdr:col>13</xdr:col>
      <xdr:colOff>260804</xdr:colOff>
      <xdr:row>7</xdr:row>
      <xdr:rowOff>90714</xdr:rowOff>
    </xdr:from>
    <xdr:to>
      <xdr:col>13</xdr:col>
      <xdr:colOff>374198</xdr:colOff>
      <xdr:row>9</xdr:row>
      <xdr:rowOff>90713</xdr:rowOff>
    </xdr:to>
    <xdr:sp macro="" textlink="">
      <xdr:nvSpPr>
        <xdr:cNvPr id="56" name="Rectangle 55"/>
        <xdr:cNvSpPr/>
      </xdr:nvSpPr>
      <xdr:spPr>
        <a:xfrm>
          <a:off x="8220983" y="1360714"/>
          <a:ext cx="113394" cy="362856"/>
        </a:xfrm>
        <a:custGeom>
          <a:avLst/>
          <a:gdLst>
            <a:gd name="connsiteX0" fmla="*/ 0 w 249464"/>
            <a:gd name="connsiteY0" fmla="*/ 0 h 669018"/>
            <a:gd name="connsiteX1" fmla="*/ 249464 w 249464"/>
            <a:gd name="connsiteY1" fmla="*/ 0 h 669018"/>
            <a:gd name="connsiteX2" fmla="*/ 249464 w 249464"/>
            <a:gd name="connsiteY2" fmla="*/ 669018 h 669018"/>
            <a:gd name="connsiteX3" fmla="*/ 0 w 249464"/>
            <a:gd name="connsiteY3" fmla="*/ 669018 h 669018"/>
            <a:gd name="connsiteX4" fmla="*/ 0 w 249464"/>
            <a:gd name="connsiteY4" fmla="*/ 0 h 669018"/>
            <a:gd name="connsiteX0" fmla="*/ 0 w 249464"/>
            <a:gd name="connsiteY0" fmla="*/ 0 h 669018"/>
            <a:gd name="connsiteX1" fmla="*/ 249464 w 249464"/>
            <a:gd name="connsiteY1" fmla="*/ 0 h 669018"/>
            <a:gd name="connsiteX2" fmla="*/ 249464 w 249464"/>
            <a:gd name="connsiteY2" fmla="*/ 669018 h 669018"/>
            <a:gd name="connsiteX3" fmla="*/ 124732 w 249464"/>
            <a:gd name="connsiteY3" fmla="*/ 669018 h 669018"/>
            <a:gd name="connsiteX4" fmla="*/ 0 w 249464"/>
            <a:gd name="connsiteY4" fmla="*/ 0 h 669018"/>
            <a:gd name="connsiteX0" fmla="*/ 0 w 249464"/>
            <a:gd name="connsiteY0" fmla="*/ 0 h 669018"/>
            <a:gd name="connsiteX1" fmla="*/ 249464 w 249464"/>
            <a:gd name="connsiteY1" fmla="*/ 0 h 669018"/>
            <a:gd name="connsiteX2" fmla="*/ 170089 w 249464"/>
            <a:gd name="connsiteY2" fmla="*/ 669018 h 669018"/>
            <a:gd name="connsiteX3" fmla="*/ 124732 w 249464"/>
            <a:gd name="connsiteY3" fmla="*/ 669018 h 669018"/>
            <a:gd name="connsiteX4" fmla="*/ 0 w 249464"/>
            <a:gd name="connsiteY4" fmla="*/ 0 h 66901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49464" h="669018">
              <a:moveTo>
                <a:pt x="0" y="0"/>
              </a:moveTo>
              <a:lnTo>
                <a:pt x="249464" y="0"/>
              </a:lnTo>
              <a:lnTo>
                <a:pt x="170089" y="669018"/>
              </a:lnTo>
              <a:lnTo>
                <a:pt x="124732" y="669018"/>
              </a:lnTo>
              <a:lnTo>
                <a:pt x="0" y="0"/>
              </a:lnTo>
              <a:close/>
            </a:path>
          </a:pathLst>
        </a:cu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272144</xdr:colOff>
      <xdr:row>9</xdr:row>
      <xdr:rowOff>158750</xdr:rowOff>
    </xdr:from>
    <xdr:to>
      <xdr:col>13</xdr:col>
      <xdr:colOff>385535</xdr:colOff>
      <xdr:row>10</xdr:row>
      <xdr:rowOff>124732</xdr:rowOff>
    </xdr:to>
    <xdr:sp macro="" textlink="">
      <xdr:nvSpPr>
        <xdr:cNvPr id="57" name="Oval 56"/>
        <xdr:cNvSpPr/>
      </xdr:nvSpPr>
      <xdr:spPr>
        <a:xfrm>
          <a:off x="8232323" y="1791607"/>
          <a:ext cx="113391" cy="147411"/>
        </a:xfrm>
        <a:prstGeom prst="ellipse">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31</xdr:col>
      <xdr:colOff>43089</xdr:colOff>
      <xdr:row>7</xdr:row>
      <xdr:rowOff>11341</xdr:rowOff>
    </xdr:from>
    <xdr:to>
      <xdr:col>34</xdr:col>
      <xdr:colOff>283482</xdr:colOff>
      <xdr:row>16</xdr:row>
      <xdr:rowOff>113394</xdr:rowOff>
    </xdr:to>
    <mc:AlternateContent xmlns:mc="http://schemas.openxmlformats.org/markup-compatibility/2006">
      <mc:Choice xmlns:a14="http://schemas.microsoft.com/office/drawing/2010/main" Requires="a14">
        <xdr:graphicFrame macro="">
          <xdr:nvGraphicFramePr>
            <xdr:cNvPr id="59"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9025053" y="1281341"/>
              <a:ext cx="2077358" cy="1734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34019</xdr:colOff>
      <xdr:row>17</xdr:row>
      <xdr:rowOff>113392</xdr:rowOff>
    </xdr:from>
    <xdr:to>
      <xdr:col>34</xdr:col>
      <xdr:colOff>249465</xdr:colOff>
      <xdr:row>24</xdr:row>
      <xdr:rowOff>45358</xdr:rowOff>
    </xdr:to>
    <mc:AlternateContent xmlns:mc="http://schemas.openxmlformats.org/markup-compatibility/2006">
      <mc:Choice xmlns:a14="http://schemas.microsoft.com/office/drawing/2010/main" Requires="a14">
        <xdr:graphicFrame macro="">
          <xdr:nvGraphicFramePr>
            <xdr:cNvPr id="61" name="Product type"/>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dr:sp macro="" textlink="">
          <xdr:nvSpPr>
            <xdr:cNvPr id="0" name=""/>
            <xdr:cNvSpPr>
              <a:spLocks noTextEdit="1"/>
            </xdr:cNvSpPr>
          </xdr:nvSpPr>
          <xdr:spPr>
            <a:xfrm>
              <a:off x="19015983" y="3197678"/>
              <a:ext cx="2052411" cy="1201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c:userShapes xmlns:c="http://schemas.openxmlformats.org/drawingml/2006/chart">
  <cdr:relSizeAnchor xmlns:cdr="http://schemas.openxmlformats.org/drawingml/2006/chartDrawing">
    <cdr:from>
      <cdr:x>0.23841</cdr:x>
      <cdr:y>0.1155</cdr:y>
    </cdr:from>
    <cdr:to>
      <cdr:x>0.2707</cdr:x>
      <cdr:y>0.17532</cdr:y>
    </cdr:to>
    <cdr:sp macro="" textlink="">
      <cdr:nvSpPr>
        <cdr:cNvPr id="2" name="Rectangle 1"/>
        <cdr:cNvSpPr/>
      </cdr:nvSpPr>
      <cdr:spPr>
        <a:xfrm xmlns:a="http://schemas.openxmlformats.org/drawingml/2006/main">
          <a:off x="1088402" y="306507"/>
          <a:ext cx="147411" cy="158750"/>
        </a:xfrm>
        <a:prstGeom xmlns:a="http://schemas.openxmlformats.org/drawingml/2006/main" prst="rect">
          <a:avLst/>
        </a:prstGeom>
        <a:gradFill xmlns:a="http://schemas.openxmlformats.org/drawingml/2006/main"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0.01113</cdr:x>
      <cdr:y>0.01914</cdr:y>
    </cdr:from>
    <cdr:to>
      <cdr:x>0.02355</cdr:x>
      <cdr:y>0.04051</cdr:y>
    </cdr:to>
    <cdr:sp macro="" textlink="">
      <cdr:nvSpPr>
        <cdr:cNvPr id="3" name="Rectangle 2"/>
        <cdr:cNvSpPr/>
      </cdr:nvSpPr>
      <cdr:spPr>
        <a:xfrm xmlns:a="http://schemas.openxmlformats.org/drawingml/2006/main">
          <a:off x="50800" y="50800"/>
          <a:ext cx="56696" cy="56697"/>
        </a:xfrm>
        <a:prstGeom xmlns:a="http://schemas.openxmlformats.org/drawingml/2006/main" prst="rect">
          <a:avLst/>
        </a:prstGeom>
        <a:gradFill xmlns:a="http://schemas.openxmlformats.org/drawingml/2006/main"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0.01113</cdr:x>
      <cdr:y>0.01914</cdr:y>
    </cdr:from>
    <cdr:to>
      <cdr:x>0.02355</cdr:x>
      <cdr:y>0.04051</cdr:y>
    </cdr:to>
    <cdr:sp macro="" textlink="">
      <cdr:nvSpPr>
        <cdr:cNvPr id="4" name="Rectangle 3"/>
        <cdr:cNvSpPr/>
      </cdr:nvSpPr>
      <cdr:spPr>
        <a:xfrm xmlns:a="http://schemas.openxmlformats.org/drawingml/2006/main">
          <a:off x="50800" y="50800"/>
          <a:ext cx="56696" cy="56697"/>
        </a:xfrm>
        <a:prstGeom xmlns:a="http://schemas.openxmlformats.org/drawingml/2006/main" prst="rect">
          <a:avLst/>
        </a:prstGeom>
        <a:gradFill xmlns:a="http://schemas.openxmlformats.org/drawingml/2006/main"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0.26822</cdr:x>
      <cdr:y>0.09841</cdr:y>
    </cdr:from>
    <cdr:to>
      <cdr:x>0.53647</cdr:x>
      <cdr:y>0.17532</cdr:y>
    </cdr:to>
    <cdr:sp macro="" textlink="">
      <cdr:nvSpPr>
        <cdr:cNvPr id="5" name="TextBox 4"/>
        <cdr:cNvSpPr txBox="1"/>
      </cdr:nvSpPr>
      <cdr:spPr>
        <a:xfrm xmlns:a="http://schemas.openxmlformats.org/drawingml/2006/main">
          <a:off x="1224473" y="261151"/>
          <a:ext cx="1224643" cy="2041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t>Total Revenue</a:t>
          </a:r>
        </a:p>
      </cdr:txBody>
    </cdr:sp>
  </cdr:relSizeAnchor>
  <cdr:relSizeAnchor xmlns:cdr="http://schemas.openxmlformats.org/drawingml/2006/chartDrawing">
    <cdr:from>
      <cdr:x>0.2707</cdr:x>
      <cdr:y>0.17959</cdr:y>
    </cdr:from>
    <cdr:to>
      <cdr:x>0.47686</cdr:x>
      <cdr:y>0.26505</cdr:y>
    </cdr:to>
    <cdr:sp macro="" textlink="">
      <cdr:nvSpPr>
        <cdr:cNvPr id="9" name="TextBox 8"/>
        <cdr:cNvSpPr txBox="1"/>
      </cdr:nvSpPr>
      <cdr:spPr>
        <a:xfrm xmlns:a="http://schemas.openxmlformats.org/drawingml/2006/main">
          <a:off x="1235812" y="476596"/>
          <a:ext cx="941161" cy="2267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t>Total Profit</a:t>
          </a:r>
        </a:p>
      </cdr:txBody>
    </cdr:sp>
  </cdr:relSizeAnchor>
</c:userShapes>
</file>

<file path=xl/drawings/drawing8.xml><?xml version="1.0" encoding="utf-8"?>
<c:userShapes xmlns:c="http://schemas.openxmlformats.org/drawingml/2006/chart">
  <cdr:relSizeAnchor xmlns:cdr="http://schemas.openxmlformats.org/drawingml/2006/chartDrawing">
    <cdr:from>
      <cdr:x>0.77635</cdr:x>
      <cdr:y>0.11883</cdr:y>
    </cdr:from>
    <cdr:to>
      <cdr:x>0.98706</cdr:x>
      <cdr:y>0.19741</cdr:y>
    </cdr:to>
    <cdr:sp macro="" textlink="">
      <cdr:nvSpPr>
        <cdr:cNvPr id="3" name="TextBox 2"/>
        <cdr:cNvSpPr txBox="1"/>
      </cdr:nvSpPr>
      <cdr:spPr>
        <a:xfrm xmlns:a="http://schemas.openxmlformats.org/drawingml/2006/main">
          <a:off x="4762723" y="291488"/>
          <a:ext cx="1292677" cy="19276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Avg.</a:t>
          </a:r>
          <a:r>
            <a:rPr lang="en-US" sz="1100" baseline="0"/>
            <a:t> Shipping Cost</a:t>
          </a:r>
          <a:endParaRPr lang="en-US" sz="1100"/>
        </a:p>
      </cdr:txBody>
    </cdr:sp>
  </cdr:relSizeAnchor>
</c:userShapes>
</file>

<file path=xl/drawings/drawing9.xml><?xml version="1.0" encoding="utf-8"?>
<xdr:wsDr xmlns:xdr="http://schemas.openxmlformats.org/drawingml/2006/spreadsheetDrawing" xmlns:a="http://schemas.openxmlformats.org/drawingml/2006/main">
  <xdr:twoCellAnchor>
    <xdr:from>
      <xdr:col>3</xdr:col>
      <xdr:colOff>234950</xdr:colOff>
      <xdr:row>0</xdr:row>
      <xdr:rowOff>142875</xdr:rowOff>
    </xdr:from>
    <xdr:to>
      <xdr:col>10</xdr:col>
      <xdr:colOff>539750</xdr:colOff>
      <xdr:row>15</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584200</xdr:colOff>
      <xdr:row>21</xdr:row>
      <xdr:rowOff>53975</xdr:rowOff>
    </xdr:from>
    <xdr:to>
      <xdr:col>8</xdr:col>
      <xdr:colOff>527050</xdr:colOff>
      <xdr:row>36</xdr:row>
      <xdr:rowOff>34925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PMLS" refreshedDate="46096.854580324078" createdVersion="6" refreshedVersion="6" minRefreshableVersion="3" recordCount="100">
  <cacheSource type="worksheet">
    <worksheetSource ref="A1:AA105" sheet="supplychain_dataset"/>
  </cacheSource>
  <cacheFields count="32">
    <cacheField name="Product type" numFmtId="49">
      <sharedItems count="3">
        <s v="haircare"/>
        <s v="skincare"/>
        <s v="cosmetics"/>
      </sharedItems>
    </cacheField>
    <cacheField name="SKU" numFmtId="0">
      <sharedItems/>
    </cacheField>
    <cacheField name="Price" numFmtId="0">
      <sharedItems containsSemiMixedTypes="0" containsString="0" containsNumber="1" minValue="1.6999760138659299" maxValue="99.171328638624104"/>
    </cacheField>
    <cacheField name="theoretical_revenue" numFmtId="0">
      <sharedItems containsSemiMixedTypes="0" containsString="0" containsNumber="1" minValue="90.557466344724006" maxValue="87098.043651651766"/>
    </cacheField>
    <cacheField name="discount/variance" numFmtId="0">
      <sharedItems containsSemiMixedTypes="0" containsString="0" containsNumber="1" minValue="-9487.1921595240055" maxValue="80910.097467415588"/>
    </cacheField>
    <cacheField name="revenue varinace" numFmtId="0">
      <sharedItems/>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0">
      <sharedItems containsSemiMixedTypes="0" containsString="0" containsNumber="1" minValue="1061.6185230132801" maxValue="9866.4654579796897"/>
    </cacheField>
    <cacheField name="Customer demographics" numFmtId="0">
      <sharedItems count="4">
        <s v="Non-binary"/>
        <s v="Female"/>
        <s v="Unknown"/>
        <s v="Male"/>
      </sharedItems>
    </cacheField>
    <cacheField name="Stock levels" numFmtId="0">
      <sharedItems containsSemiMixedTypes="0" containsString="0" containsNumber="1" containsInteger="1" minValue="0" maxValue="100"/>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ount="3">
        <s v="TransOceanic"/>
        <s v="GlobalLogix"/>
        <s v="SwiftParcel"/>
      </sharedItems>
    </cacheField>
    <cacheField name="Shipping costs" numFmtId="0">
      <sharedItems containsSemiMixedTypes="0" containsString="0" containsNumber="1" minValue="1.0134865660958901" maxValue="9.9298162452772498"/>
    </cacheField>
    <cacheField name="Supplier name" numFmtId="0">
      <sharedItems count="5">
        <s v="Global Source Logistics"/>
        <s v="Apex Manufacturing Corp"/>
        <s v="Titan Industrial Group"/>
        <s v="Elite Quality Parts"/>
        <s v="Precision Tech Solutions"/>
      </sharedItems>
    </cacheField>
    <cacheField name="Location" numFmtId="0">
      <sharedItems count="5">
        <s v="Tech &amp; R&amp;D Center"/>
        <s v="West Coast Hub (Port)"/>
        <s v="South Asia Mfg Hub"/>
        <s v="East Gateway Hub"/>
        <s v="Northern Logistics Node"/>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0">
      <sharedItems containsSemiMixedTypes="0" containsString="0" containsNumber="1" minValue="1.0850685695870601" maxValue="99.466108603599096"/>
    </cacheField>
    <cacheField name="Inspection results" numFmtId="0">
      <sharedItems/>
    </cacheField>
    <cacheField name="Defect rates" numFmtId="0">
      <sharedItems containsSemiMixedTypes="0" containsString="0" containsNumber="1" minValue="1.8607567631014899E-2" maxValue="4.9392552886209398"/>
    </cacheField>
    <cacheField name="Transportation modes" numFmtId="0">
      <sharedItems count="4">
        <s v="Road"/>
        <s v="Air"/>
        <s v="Rail"/>
        <s v="Sea"/>
      </sharedItems>
    </cacheField>
    <cacheField name="Routes" numFmtId="0">
      <sharedItems/>
    </cacheField>
    <cacheField name="Costs" numFmtId="2">
      <sharedItems containsSemiMixedTypes="0" containsString="0" containsNumber="1" minValue="103.916247960704" maxValue="997.41345013319403"/>
    </cacheField>
    <cacheField name="profit" numFmtId="0">
      <sharedItems containsSemiMixedTypes="0" containsString="0" containsNumber="1" minValue="1030.4713729035163" maxValue="9816.5036994971069" count="100">
        <n v="8644.8498919083795"/>
        <n v="7445.2527970288802"/>
        <n v="9509.4440009453992"/>
        <n v="7734.4188377734026"/>
        <n v="2652.9221364978198"/>
        <n v="2738.2286837755696"/>
        <n v="7812.5379200817997"/>
        <n v="8484.5886251568154"/>
        <n v="7445.773557716996"/>
        <n v="4936.8713614396574"/>
        <n v="2284.2196923600354"/>
        <n v="6084.6658996421038"/>
        <n v="2832.0338123083307"/>
        <n v="3955.9880753616158"/>
        <n v="8552.9211990376461"/>
        <n v="5433.8733090445312"/>
        <n v="6403.3267643500658"/>
        <n v="2555.8816703683556"/>
        <n v="9283.3730523382401"/>
        <n v="2543.1482582439962"/>
        <n v="8110.4563197743855"/>
        <n v="6981.548703984613"/>
        <n v="2379.6429948921964"/>
        <n v="8813.3582766720247"/>
        <n v="9000.0436936645401"/>
        <n v="2089.2019216776903"/>
        <n v="3679.324099795092"/>
        <n v="2613.3642130144935"/>
        <n v="6093.2786591319409"/>
        <n v="8263.9319826741576"/>
        <n v="2699.5169356267256"/>
        <n v="9592.0680631395462"/>
        <n v="9563.8663138569846"/>
        <n v="5109.5153385074682"/>
        <n v="9042.8876516055061"/>
        <n v="6490.5097905749699"/>
        <n v="7559.8714794420048"/>
        <n v="2403.1905062426995"/>
        <n v="9659.9557451987166"/>
        <n v="1848.0124735533395"/>
        <n v="5695.1756486956356"/>
        <n v="5495.7190023559097"/>
        <n v="1770.3474485757476"/>
        <n v="5722.2907960268703"/>
        <n v="7066.0062058092544"/>
        <n v="5204.7368654570646"/>
        <n v="2475.590062298656"/>
        <n v="7052.9031360915669"/>
        <n v="7359.7891480548024"/>
        <n v="7939.6782036754084"/>
        <n v="5858.0336553722691"/>
        <n v="9816.5036994971069"/>
        <n v="9400.8541907750277"/>
        <n v="8143.141935755506"/>
        <n v="6003.1355243131147"/>
        <n v="2825.3287408000065"/>
        <n v="4668.1247728785838"/>
        <n v="1532.382744061418"/>
        <n v="1949.8988273323964"/>
        <n v="1030.4713729035163"/>
        <n v="8831.0059846041841"/>
        <n v="6828.6014088387765"/>
        <n v="3879.6188477676105"/>
        <n v="4218.8575549788884"/>
        <n v="8434.3559319570722"/>
        <n v="8282.233989207738"/>
        <n v="8345.4304713157489"/>
        <n v="9366.8211708534454"/>
        <n v="3527.9755381909363"/>
        <n v="1726.7035709368179"/>
        <n v="6911.458687885317"/>
        <n v="8166.6436166734438"/>
        <n v="2596.1988218959436"/>
        <n v="7877.0526930903397"/>
        <n v="5647.9411657618102"/>
        <n v="1834.9647986181751"/>
        <n v="5310.793200890871"/>
        <n v="2384.9140703184594"/>
        <n v="1236.3116877985328"/>
        <n v="7826.4664501675406"/>
        <n v="8571.5171450915896"/>
        <n v="4297.9738019563574"/>
        <n v="2895.7212409869167"/>
        <n v="2372.4615150674181"/>
        <n v="1989.7876446108098"/>
        <n v="8578.633296748445"/>
        <n v="1131.6093704695156"/>
        <n v="5048.9905141707259"/>
        <n v="9378.3280895344342"/>
        <n v="5880.9441140947438"/>
        <n v="9519.9117244775061"/>
        <n v="1918.7294719944073"/>
        <n v="2055.8873720974666"/>
        <n v="4476.3309189928896"/>
        <n v="7784.9907800802657"/>
        <n v="7300.1058393663097"/>
        <n v="7625.2922646010356"/>
        <n v="4291.8852196529169"/>
        <n v="8449.9337885931873"/>
        <n v="9181.974043182061"/>
      </sharedItems>
    </cacheField>
    <cacheField name="profit_margin" numFmtId="0">
      <sharedItems containsSemiMixedTypes="0" containsString="0" containsNumber="1" minValue="0.92031361987911064" maxValue="0.99965032977455548"/>
    </cacheField>
    <cacheField name="cost per unit" numFmtId="0">
      <sharedItems containsSemiMixedTypes="0" containsString="0" containsNumber="1" minValue="3.4556323872199368E-3" maxValue="0.56548583878712833"/>
    </cacheField>
    <cacheField name="deliveryeff_hr" numFmtId="0">
      <sharedItems containsSemiMixedTypes="0" containsString="0" containsNumber="1" containsInteger="1" minValue="2" maxValue="38"/>
    </cacheField>
    <cacheField name="stock_ratio" numFmtId="0">
      <sharedItems containsMixedTypes="1" containsNumber="1" minValue="0.25806451612903225" maxValue="602"/>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PMLS" refreshedDate="46097.897643171294" createdVersion="6" refreshedVersion="6" minRefreshableVersion="3" recordCount="100">
  <cacheSource type="worksheet">
    <worksheetSource ref="A1:AB105" sheet="supplychain_dataset"/>
  </cacheSource>
  <cacheFields count="36">
    <cacheField name="Product type" numFmtId="49">
      <sharedItems count="3">
        <s v="haircare"/>
        <s v="skincare"/>
        <s v="cosmetics"/>
      </sharedItems>
    </cacheField>
    <cacheField name="SKU" numFmtId="0">
      <sharedItems/>
    </cacheField>
    <cacheField name="Price" numFmtId="0">
      <sharedItems containsSemiMixedTypes="0" containsString="0" containsNumber="1" minValue="1.6999760138659299" maxValue="99.171328638624104"/>
    </cacheField>
    <cacheField name="theoretical_revenue" numFmtId="0">
      <sharedItems containsSemiMixedTypes="0" containsString="0" containsNumber="1" minValue="90.557466344724006" maxValue="87098.043651651766"/>
    </cacheField>
    <cacheField name="discount/variance" numFmtId="0">
      <sharedItems containsSemiMixedTypes="0" containsString="0" containsNumber="1" minValue="-9487.1921595240055" maxValue="80910.097467415588"/>
    </cacheField>
    <cacheField name="revenue varinace" numFmtId="0">
      <sharedItems/>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0">
      <sharedItems containsSemiMixedTypes="0" containsString="0" containsNumber="1" minValue="1061.6185230132801" maxValue="9866.4654579796897"/>
    </cacheField>
    <cacheField name="Customer demographics" numFmtId="0">
      <sharedItems/>
    </cacheField>
    <cacheField name="Stock levels" numFmtId="0">
      <sharedItems containsSemiMixedTypes="0" containsString="0" containsNumber="1" containsInteger="1" minValue="0" maxValue="100"/>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acheField>
    <cacheField name="Shipping costs" numFmtId="0">
      <sharedItems containsSemiMixedTypes="0" containsString="0" containsNumber="1" minValue="1.0134865660958901" maxValue="9.9298162452772498"/>
    </cacheField>
    <cacheField name="Supplier name" numFmtId="0">
      <sharedItems count="5">
        <s v="Global Source Logistics"/>
        <s v="Apex Manufacturing Corp"/>
        <s v="Titan Industrial Group"/>
        <s v="Elite Quality Parts"/>
        <s v="Precision Tech Solutions"/>
      </sharedItems>
    </cacheField>
    <cacheField name="Location" numFmtId="0">
      <sharedItems count="5">
        <s v="Tech &amp; R&amp;D Center"/>
        <s v="West Coast Hub (Port)"/>
        <s v="South Asia Mfg Hub"/>
        <s v="East Gateway Hub"/>
        <s v="Northern Logistics Node"/>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0">
      <sharedItems containsSemiMixedTypes="0" containsString="0" containsNumber="1" minValue="1.0850685695870601" maxValue="99.466108603599096"/>
    </cacheField>
    <cacheField name="Inspection results" numFmtId="0">
      <sharedItems/>
    </cacheField>
    <cacheField name="defect -units" numFmtId="0">
      <sharedItems containsSemiMixedTypes="0" containsString="0" containsNumber="1" minValue="2.8841729828073093" maxValue="4875.0449698688672"/>
    </cacheField>
    <cacheField name="Defect rates" numFmtId="0">
      <sharedItems containsSemiMixedTypes="0" containsString="0" containsNumber="1" minValue="1.8607567631014899E-2" maxValue="4.9392552886209398"/>
    </cacheField>
    <cacheField name="Transportation modes" numFmtId="0">
      <sharedItems/>
    </cacheField>
    <cacheField name="Routes" numFmtId="0">
      <sharedItems/>
    </cacheField>
    <cacheField name="Costs" numFmtId="2">
      <sharedItems containsSemiMixedTypes="0" containsString="0" containsNumber="1" minValue="103.916247960704" maxValue="997.41345013319403"/>
    </cacheField>
    <cacheField name="profit" numFmtId="2">
      <sharedItems containsSemiMixedTypes="0" containsString="0" containsNumber="1" minValue="423.48785086205703" maxValue="9482.2692350489451"/>
    </cacheField>
    <cacheField name="profit_margin" numFmtId="2">
      <sharedItems containsSemiMixedTypes="0" containsString="0" containsNumber="1" minValue="0.34441358225937724" maxValue="0.98849488678757691"/>
    </cacheField>
    <cacheField name="cost per unit" numFmtId="0">
      <sharedItems containsSemiMixedTypes="0" containsString="0" containsNumber="1" minValue="3.4556323872199368E-3" maxValue="0.56548583878712833"/>
    </cacheField>
    <cacheField name="deliveryeff_hr" numFmtId="0">
      <sharedItems containsSemiMixedTypes="0" containsString="0" containsNumber="1" containsInteger="1" minValue="2" maxValue="38"/>
    </cacheField>
    <cacheField name="stock_ratio" numFmtId="0">
      <sharedItems containsMixedTypes="1" containsNumber="1" minValue="0.25806451612903225" maxValue="602"/>
    </cacheField>
    <cacheField name="total_costs" numFmtId="0">
      <sharedItems containsSemiMixedTypes="0" containsString="0" containsNumber="1" minValue="519.58123980352002" maxValue="4987.0672506659703"/>
    </cacheField>
    <cacheField name="net_profit" numFmtId="0">
      <sharedItems containsSemiMixedTypes="0" containsString="0" containsNumber="1" minValue="-3381.2003502735702" maxValue="9040.8118941234898"/>
    </cacheField>
    <cacheField name="prfotmargin" numFmtId="0">
      <sharedItems containsSemiMixedTypes="0" containsString="0" containsNumber="1" minValue="-2.277932088703114" maxValue="0.94247443393788521"/>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PMLS" refreshedDate="46098.841283796297" createdVersion="6" refreshedVersion="6" minRefreshableVersion="3" recordCount="100">
  <cacheSource type="worksheet">
    <worksheetSource ref="A1:AB105" sheet="supplychain_dataset"/>
  </cacheSource>
  <cacheFields count="36">
    <cacheField name="Product type" numFmtId="49">
      <sharedItems/>
    </cacheField>
    <cacheField name="SKU" numFmtId="0">
      <sharedItems/>
    </cacheField>
    <cacheField name="Price" numFmtId="0">
      <sharedItems containsSemiMixedTypes="0" containsString="0" containsNumber="1" minValue="1.6999760138659299" maxValue="99.171328638624104"/>
    </cacheField>
    <cacheField name="theoretical_revenue" numFmtId="0">
      <sharedItems containsSemiMixedTypes="0" containsString="0" containsNumber="1" minValue="90.557466344724006" maxValue="87098.043651651766"/>
    </cacheField>
    <cacheField name="discount/variance" numFmtId="0">
      <sharedItems containsSemiMixedTypes="0" containsString="0" containsNumber="1" minValue="-9487.1921595240055" maxValue="80910.097467415588"/>
    </cacheField>
    <cacheField name="revenue varinace" numFmtId="0">
      <sharedItems/>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0">
      <sharedItems containsSemiMixedTypes="0" containsString="0" containsNumber="1" minValue="1061.6185230132801" maxValue="9866.4654579796897"/>
    </cacheField>
    <cacheField name="Customer demographics" numFmtId="0">
      <sharedItems/>
    </cacheField>
    <cacheField name="Stock levels" numFmtId="0">
      <sharedItems containsSemiMixedTypes="0" containsString="0" containsNumber="1" containsInteger="1" minValue="0" maxValue="100"/>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ount="3">
        <s v="TransOceanic"/>
        <s v="GlobalLogix"/>
        <s v="SwiftParcel"/>
      </sharedItems>
    </cacheField>
    <cacheField name="Shipping costs" numFmtId="0">
      <sharedItems containsSemiMixedTypes="0" containsString="0" containsNumber="1" minValue="1.0134865660958901" maxValue="9.9298162452772498"/>
    </cacheField>
    <cacheField name="Supplier name" numFmtId="0">
      <sharedItems/>
    </cacheField>
    <cacheField name="Location" numFmtId="0">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0">
      <sharedItems containsSemiMixedTypes="0" containsString="0" containsNumber="1" minValue="1.0850685695870601" maxValue="99.466108603599096"/>
    </cacheField>
    <cacheField name="Inspection results" numFmtId="0">
      <sharedItems/>
    </cacheField>
    <cacheField name="defect -units" numFmtId="0">
      <sharedItems containsSemiMixedTypes="0" containsString="0" containsNumber="1" minValue="2.8841729828073093" maxValue="4875.0449698688672"/>
    </cacheField>
    <cacheField name="pctdefect rate" numFmtId="0">
      <sharedItems containsSemiMixedTypes="0" containsString="0" containsNumber="1" minValue="1.8607567631014898E-4" maxValue="4.9392552886209397E-2"/>
    </cacheField>
    <cacheField name="Defect rates" numFmtId="0">
      <sharedItems containsSemiMixedTypes="0" containsString="0" containsNumber="1" minValue="1.8607567631014899E-2" maxValue="4.9392552886209398"/>
    </cacheField>
    <cacheField name="Transportation modes" numFmtId="0">
      <sharedItems count="4">
        <s v="Road"/>
        <s v="Air"/>
        <s v="Rail"/>
        <s v="Sea"/>
      </sharedItems>
    </cacheField>
    <cacheField name="Routes" numFmtId="0">
      <sharedItems/>
    </cacheField>
    <cacheField name="Costs" numFmtId="2">
      <sharedItems containsSemiMixedTypes="0" containsString="0" containsNumber="1" minValue="103.916247960704" maxValue="997.41345013319403"/>
    </cacheField>
    <cacheField name="profit" numFmtId="2">
      <sharedItems containsSemiMixedTypes="0" containsString="0" containsNumber="1" minValue="423.48785086205703" maxValue="9482.2692350489451"/>
    </cacheField>
    <cacheField name="profit_margin" numFmtId="2">
      <sharedItems containsSemiMixedTypes="0" containsString="0" containsNumber="1" minValue="0.34441358225937724" maxValue="0.98849488678757691"/>
    </cacheField>
    <cacheField name="cost per unit" numFmtId="0">
      <sharedItems containsSemiMixedTypes="0" containsString="0" containsNumber="1" minValue="3.4556323872199368E-3" maxValue="0.56548583878712833"/>
    </cacheField>
    <cacheField name="deliveryeff_hr" numFmtId="0">
      <sharedItems containsSemiMixedTypes="0" containsString="0" containsNumber="1" containsInteger="1" minValue="2" maxValue="38"/>
    </cacheField>
    <cacheField name="stock_ratio" numFmtId="0">
      <sharedItems containsMixedTypes="1" containsNumber="1" minValue="0.25806451612903225" maxValue="602"/>
    </cacheField>
    <cacheField name="total_costs" numFmtId="0">
      <sharedItems containsSemiMixedTypes="0" containsString="0" containsNumber="1" minValue="519.58123980352002" maxValue="4987.0672506659703"/>
    </cacheField>
    <cacheField name="net_profit" numFmtId="0">
      <sharedItems containsSemiMixedTypes="0" containsString="0" containsNumber="1" minValue="-3381.2003502735702" maxValue="9040.8118941234898"/>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100">
  <r>
    <x v="0"/>
    <s v="SKU0"/>
    <n v="69.808005542115694"/>
    <n v="55986.02044477679"/>
    <n v="47324.023652384407"/>
    <s v="Discount Applied"/>
    <n v="55"/>
    <n v="802"/>
    <n v="8661.9967923923796"/>
    <x v="0"/>
    <n v="58"/>
    <n v="7"/>
    <n v="96"/>
    <n v="4"/>
    <x v="0"/>
    <n v="2.9565721394308002"/>
    <x v="0"/>
    <x v="0"/>
    <n v="18"/>
    <n v="673"/>
    <n v="28"/>
    <n v="14.190328344569901"/>
    <s v="Pending"/>
    <n v="1.77295117208355"/>
    <x v="0"/>
    <s v="Indo-Pacific Corridor"/>
    <n v="694.98231757944495"/>
    <x v="0"/>
    <n v="0.99802044483564578"/>
    <n v="2.1085183275735365E-2"/>
    <n v="22"/>
    <n v="13.827586206896552"/>
  </r>
  <r>
    <x v="1"/>
    <s v="SKU1"/>
    <n v="14.8435232750843"/>
    <n v="10924.833130462044"/>
    <n v="3463.9330650162046"/>
    <s v="Discount Applied"/>
    <n v="95"/>
    <n v="736"/>
    <n v="7460.9000654458396"/>
    <x v="1"/>
    <n v="53"/>
    <n v="30"/>
    <n v="37"/>
    <n v="2"/>
    <x v="1"/>
    <n v="9.7165747714313095"/>
    <x v="0"/>
    <x v="1"/>
    <n v="10"/>
    <n v="841"/>
    <n v="12"/>
    <n v="5.9306936455283097"/>
    <s v="Pending"/>
    <n v="0.613326899164507"/>
    <x v="1"/>
    <s v="Trans-Eurasian Hub"/>
    <n v="339.67286994860598"/>
    <x v="1"/>
    <n v="0.99790276397221456"/>
    <n v="7.051954394207265E-3"/>
    <n v="12"/>
    <n v="13.886792452830189"/>
  </r>
  <r>
    <x v="0"/>
    <s v="SKU2"/>
    <n v="11.319683293090501"/>
    <n v="90.557466344724006"/>
    <n v="-9487.1921595240055"/>
    <s v="Premium Markup"/>
    <n v="34"/>
    <n v="8"/>
    <n v="9577.7496258687297"/>
    <x v="2"/>
    <n v="1"/>
    <n v="10"/>
    <n v="88"/>
    <n v="2"/>
    <x v="0"/>
    <n v="8.0544792617321495"/>
    <x v="1"/>
    <x v="2"/>
    <n v="24"/>
    <n v="461"/>
    <n v="8"/>
    <n v="60.251145661598002"/>
    <s v="Pending"/>
    <n v="2.9890000066550702"/>
    <x v="2"/>
    <s v="Americas Gateway"/>
    <n v="609.379206618426"/>
    <x v="2"/>
    <n v="0.99286830126161973"/>
    <n v="0.13069662833318438"/>
    <n v="26"/>
    <n v="8"/>
  </r>
  <r>
    <x v="1"/>
    <s v="SKU3"/>
    <n v="61.1633430164377"/>
    <n v="5076.5574703643288"/>
    <n v="-2690.2789553209013"/>
    <s v="Premium Markup"/>
    <n v="68"/>
    <n v="83"/>
    <n v="7766.8364256852301"/>
    <x v="0"/>
    <n v="23"/>
    <n v="13"/>
    <n v="59"/>
    <n v="6"/>
    <x v="2"/>
    <n v="1.7295685635434199"/>
    <x v="2"/>
    <x v="1"/>
    <n v="12"/>
    <n v="971"/>
    <n v="27"/>
    <n v="30.6880193482842"/>
    <s v="Pending"/>
    <n v="4.5805926191992201"/>
    <x v="1"/>
    <s v="Americas Gateway"/>
    <n v="141.920281771519"/>
    <x v="3"/>
    <n v="0.9958261528716349"/>
    <n v="3.160455133705891E-2"/>
    <n v="18"/>
    <n v="3.6086956521739131"/>
  </r>
  <r>
    <x v="1"/>
    <s v="SKU4"/>
    <n v="4.8054960363458896"/>
    <n v="4185.58704765727"/>
    <n v="1499.08189608983"/>
    <s v="Discount Applied"/>
    <n v="26"/>
    <n v="871"/>
    <n v="2686.50515156744"/>
    <x v="0"/>
    <n v="5"/>
    <n v="3"/>
    <n v="56"/>
    <n v="8"/>
    <x v="1"/>
    <n v="3.8905479158706702"/>
    <x v="1"/>
    <x v="3"/>
    <n v="30"/>
    <n v="737"/>
    <n v="7"/>
    <n v="29.6924671537497"/>
    <s v="Pass"/>
    <n v="1.94603611938611"/>
    <x v="0"/>
    <s v="Indo-Pacific Corridor"/>
    <n v="761.17390951487698"/>
    <x v="4"/>
    <n v="0.98749936695634988"/>
    <n v="4.0288286504409361E-2"/>
    <n v="38"/>
    <n v="174.2"/>
  </r>
  <r>
    <x v="0"/>
    <s v="SKU5"/>
    <n v="1.6999760138659299"/>
    <n v="249.8964740382917"/>
    <n v="-2578.4522719374581"/>
    <s v="Premium Markup"/>
    <n v="87"/>
    <n v="147"/>
    <n v="2828.3487459757498"/>
    <x v="0"/>
    <n v="90"/>
    <n v="27"/>
    <n v="66"/>
    <n v="3"/>
    <x v="0"/>
    <n v="4.4440988643822896"/>
    <x v="3"/>
    <x v="0"/>
    <n v="8"/>
    <n v="585"/>
    <n v="8"/>
    <n v="85.675963335797903"/>
    <s v="Pass"/>
    <n v="1.2193822244013801"/>
    <x v="2"/>
    <s v="Trans-Eurasian Hub"/>
    <n v="990.07847250581096"/>
    <x v="5"/>
    <n v="0.96813686348672334"/>
    <n v="0.14645463818085111"/>
    <n v="11"/>
    <n v="1.6333333333333333"/>
  </r>
  <r>
    <x v="1"/>
    <s v="SKU6"/>
    <n v="4.0783328631079403"/>
    <n v="265.09163610201614"/>
    <n v="-7558.384923429714"/>
    <s v="Premium Markup"/>
    <n v="48"/>
    <n v="65"/>
    <n v="7823.4765595317303"/>
    <x v="3"/>
    <n v="11"/>
    <n v="15"/>
    <n v="58"/>
    <n v="8"/>
    <x v="2"/>
    <n v="3.8807633029519999"/>
    <x v="0"/>
    <x v="1"/>
    <n v="10"/>
    <n v="198"/>
    <n v="11"/>
    <n v="7.0578761469782298"/>
    <s v="Pass"/>
    <n v="0.131955444311814"/>
    <x v="3"/>
    <s v="Americas Gateway"/>
    <n v="169.27180138478599"/>
    <x v="6"/>
    <n v="0.99860181859475206"/>
    <n v="3.5645839126152677E-2"/>
    <n v="18"/>
    <n v="5.9090909090909092"/>
  </r>
  <r>
    <x v="2"/>
    <s v="SKU7"/>
    <n v="42.958384382459997"/>
    <n v="18300.27174692796"/>
    <n v="9804.1679338381291"/>
    <s v="Discount Applied"/>
    <n v="59"/>
    <n v="426"/>
    <n v="8496.1038130898305"/>
    <x v="1"/>
    <n v="93"/>
    <n v="17"/>
    <n v="11"/>
    <n v="1"/>
    <x v="0"/>
    <n v="2.3483387844177801"/>
    <x v="3"/>
    <x v="1"/>
    <n v="10"/>
    <n v="727"/>
    <n v="27"/>
    <n v="9.1668491485971497"/>
    <s v="Pending"/>
    <n v="2.1224716191438202"/>
    <x v="1"/>
    <s v="Americas Gateway"/>
    <n v="602.89849883838303"/>
    <x v="7"/>
    <n v="0.99864465074976205"/>
    <n v="1.2609146009074484E-2"/>
    <n v="11"/>
    <n v="4.580645161290323"/>
  </r>
  <r>
    <x v="2"/>
    <s v="SKU8"/>
    <n v="68.717596748527299"/>
    <n v="10307.639512279095"/>
    <n v="2790.2763016479748"/>
    <s v="Discount Applied"/>
    <n v="78"/>
    <n v="150"/>
    <n v="7517.3632106311197"/>
    <x v="1"/>
    <n v="5"/>
    <n v="10"/>
    <n v="15"/>
    <n v="7"/>
    <x v="2"/>
    <n v="3.4047338570830199"/>
    <x v="3"/>
    <x v="1"/>
    <n v="21"/>
    <n v="953"/>
    <n v="11"/>
    <n v="68.1849190570411"/>
    <s v="Pending"/>
    <n v="0.722204401882931"/>
    <x v="3"/>
    <s v="Indo-Pacific Corridor"/>
    <n v="103.916247960704"/>
    <x v="8"/>
    <n v="0.99047676014737707"/>
    <n v="7.1547659031522659E-2"/>
    <n v="28"/>
    <n v="30"/>
  </r>
  <r>
    <x v="1"/>
    <s v="SKU9"/>
    <n v="64.0157329412785"/>
    <n v="62735.418282452927"/>
    <n v="57764.272294867376"/>
    <s v="Discount Applied"/>
    <n v="35"/>
    <n v="980"/>
    <n v="4971.1459875855498"/>
    <x v="2"/>
    <n v="14"/>
    <n v="27"/>
    <n v="83"/>
    <n v="1"/>
    <x v="1"/>
    <n v="7.1666452910482104"/>
    <x v="4"/>
    <x v="3"/>
    <n v="18"/>
    <n v="374"/>
    <n v="17"/>
    <n v="27.107980854843898"/>
    <s v="Pending"/>
    <n v="2.2319391107292601"/>
    <x v="3"/>
    <s v="Indo-Pacific Corridor"/>
    <n v="593.48025872065102"/>
    <x v="9"/>
    <n v="0.99310528674243592"/>
    <n v="7.248123223220293E-2"/>
    <n v="19"/>
    <n v="70"/>
  </r>
  <r>
    <x v="1"/>
    <s v="SKU10"/>
    <n v="15.707795681912099"/>
    <n v="15644.964499184451"/>
    <n v="13313.998697092511"/>
    <s v="Discount Applied"/>
    <n v="11"/>
    <n v="996"/>
    <n v="2330.9658020919401"/>
    <x v="0"/>
    <n v="51"/>
    <n v="13"/>
    <n v="80"/>
    <n v="2"/>
    <x v="2"/>
    <n v="8.6732112112786108"/>
    <x v="2"/>
    <x v="2"/>
    <n v="29"/>
    <n v="921"/>
    <n v="2"/>
    <n v="38.072898520625998"/>
    <s v="Fail"/>
    <n v="0.34602729070550298"/>
    <x v="2"/>
    <s v="Trans-Eurasian Hub"/>
    <n v="210.743008964246"/>
    <x v="10"/>
    <n v="0.97994560465453762"/>
    <n v="4.1338652031081433E-2"/>
    <n v="31"/>
    <n v="19.529411764705884"/>
  </r>
  <r>
    <x v="1"/>
    <s v="SKU11"/>
    <n v="90.635459982288594"/>
    <n v="87010.041582997044"/>
    <n v="80910.097467415588"/>
    <s v="Discount Applied"/>
    <n v="95"/>
    <n v="960"/>
    <n v="6099.9441155814502"/>
    <x v="1"/>
    <n v="46"/>
    <n v="23"/>
    <n v="60"/>
    <n v="1"/>
    <x v="1"/>
    <n v="4.5239431243166601"/>
    <x v="4"/>
    <x v="2"/>
    <n v="4"/>
    <n v="452"/>
    <n v="10"/>
    <n v="10.754272815029299"/>
    <s v="Pass"/>
    <n v="0.64660455937205397"/>
    <x v="0"/>
    <s v="Trans-Eurasian Hub"/>
    <n v="510.35800043352299"/>
    <x v="11"/>
    <n v="0.99749535149013568"/>
    <n v="2.3792638971303761E-2"/>
    <n v="5"/>
    <n v="20.869565217391305"/>
  </r>
  <r>
    <x v="0"/>
    <s v="SKU12"/>
    <n v="71.213389075359999"/>
    <n v="23927.69872932096"/>
    <n v="21053.957283299522"/>
    <s v="Discount Applied"/>
    <n v="41"/>
    <n v="336"/>
    <n v="2873.74144602144"/>
    <x v="2"/>
    <n v="100"/>
    <n v="30"/>
    <n v="85"/>
    <n v="4"/>
    <x v="1"/>
    <n v="1.32527401018452"/>
    <x v="3"/>
    <x v="0"/>
    <n v="28"/>
    <n v="447"/>
    <n v="3"/>
    <n v="40.382359702924802"/>
    <s v="Pending"/>
    <n v="3.69131029262872"/>
    <x v="1"/>
    <s v="Indo-Pacific Corridor"/>
    <n v="758.72477260293795"/>
    <x v="12"/>
    <n v="0.98548664363286698"/>
    <n v="9.0340849447259064E-2"/>
    <n v="32"/>
    <n v="3.36"/>
  </r>
  <r>
    <x v="1"/>
    <s v="SKU13"/>
    <n v="16.160393317379899"/>
    <n v="4023.9379360275948"/>
    <n v="-28.80048021026505"/>
    <s v="Premium Markup"/>
    <n v="5"/>
    <n v="249"/>
    <n v="4052.7384162378598"/>
    <x v="3"/>
    <n v="80"/>
    <n v="8"/>
    <n v="48"/>
    <n v="9"/>
    <x v="1"/>
    <n v="9.5372830611083295"/>
    <x v="2"/>
    <x v="1"/>
    <n v="29"/>
    <n v="929"/>
    <n v="24"/>
    <n v="87.213057815135599"/>
    <s v="Fail"/>
    <n v="2.8530906166490499"/>
    <x v="2"/>
    <s v="Indo-Pacific Corridor"/>
    <n v="430.16909697513597"/>
    <x v="13"/>
    <n v="0.97612716861058679"/>
    <n v="9.3878426065807971E-2"/>
    <n v="38"/>
    <n v="3.1124999999999998"/>
  </r>
  <r>
    <x v="1"/>
    <s v="SKU14"/>
    <n v="99.171328638624104"/>
    <n v="55734.286694906747"/>
    <n v="47080.715768436945"/>
    <s v="Discount Applied"/>
    <n v="26"/>
    <n v="562"/>
    <n v="8653.5709264697998"/>
    <x v="0"/>
    <n v="54"/>
    <n v="29"/>
    <n v="78"/>
    <n v="5"/>
    <x v="0"/>
    <n v="2.0397701894493299"/>
    <x v="1"/>
    <x v="3"/>
    <n v="11"/>
    <n v="568"/>
    <n v="29"/>
    <n v="98.6099572427038"/>
    <s v="Pending"/>
    <n v="1.3422915627227301"/>
    <x v="2"/>
    <s v="Indo-Pacific Corridor"/>
    <n v="196.329446112412"/>
    <x v="14"/>
    <n v="0.98836899491696739"/>
    <n v="0.17360907965264755"/>
    <n v="16"/>
    <n v="10.407407407407407"/>
  </r>
  <r>
    <x v="1"/>
    <s v="SKU15"/>
    <n v="36.989244928626903"/>
    <n v="17347.955871526017"/>
    <n v="11905.869086128347"/>
    <s v="Discount Applied"/>
    <n v="94"/>
    <n v="469"/>
    <n v="5442.0867853976697"/>
    <x v="0"/>
    <n v="9"/>
    <n v="8"/>
    <n v="69"/>
    <n v="7"/>
    <x v="0"/>
    <n v="2.4220397232752"/>
    <x v="1"/>
    <x v="3"/>
    <n v="25"/>
    <n v="558"/>
    <n v="14"/>
    <n v="5.7914366298629796"/>
    <s v="Pending"/>
    <n v="0.100682851565093"/>
    <x v="1"/>
    <s v="Trans-Eurasian Hub"/>
    <n v="929.23528996088896"/>
    <x v="15"/>
    <n v="0.99849074873719823"/>
    <n v="1.0378918691510716E-2"/>
    <n v="32"/>
    <n v="52.111111111111114"/>
  </r>
  <r>
    <x v="1"/>
    <s v="SKU16"/>
    <n v="7.5471721097912701"/>
    <n v="2113.2081907415554"/>
    <n v="-4340.589777434725"/>
    <s v="Premium Markup"/>
    <n v="74"/>
    <n v="280"/>
    <n v="6453.7979681762799"/>
    <x v="1"/>
    <n v="2"/>
    <n v="5"/>
    <n v="78"/>
    <n v="1"/>
    <x v="0"/>
    <n v="4.1913245857054999"/>
    <x v="1"/>
    <x v="1"/>
    <n v="29"/>
    <n v="215"/>
    <n v="29"/>
    <n v="46.279879240508301"/>
    <s v="Pending"/>
    <n v="0.226410360849925"/>
    <x v="0"/>
    <s v="Trans-Eurasian Hub"/>
    <n v="187.75207545920301"/>
    <x v="16"/>
    <n v="0.99217961205555427"/>
    <n v="0.21525525228143397"/>
    <n v="30"/>
    <n v="140"/>
  </r>
  <r>
    <x v="2"/>
    <s v="SKU17"/>
    <n v="81.462534369237005"/>
    <n v="10264.279330523863"/>
    <n v="7634.8828956786028"/>
    <s v="Discount Applied"/>
    <n v="82"/>
    <n v="126"/>
    <n v="2629.39643484526"/>
    <x v="1"/>
    <n v="45"/>
    <n v="17"/>
    <n v="85"/>
    <n v="9"/>
    <x v="2"/>
    <n v="3.5854189582323399"/>
    <x v="1"/>
    <x v="2"/>
    <n v="4"/>
    <n v="211"/>
    <n v="2"/>
    <n v="69.929345518672307"/>
    <s v="Fail"/>
    <n v="1.3744289997457499"/>
    <x v="0"/>
    <s v="Trans-Eurasian Hub"/>
    <n v="842.68683000464102"/>
    <x v="17"/>
    <n v="0.97204120173638597"/>
    <n v="0.33141869914062705"/>
    <n v="13"/>
    <n v="2.8"/>
  </r>
  <r>
    <x v="0"/>
    <s v="SKU18"/>
    <n v="36.4436277704609"/>
    <n v="22595.049217685759"/>
    <n v="13230.375712609588"/>
    <s v="Discount Applied"/>
    <n v="23"/>
    <n v="620"/>
    <n v="9364.6735050761708"/>
    <x v="2"/>
    <n v="10"/>
    <n v="10"/>
    <n v="46"/>
    <n v="8"/>
    <x v="2"/>
    <n v="4.3392247141107001"/>
    <x v="4"/>
    <x v="2"/>
    <n v="8"/>
    <n v="202"/>
    <n v="5"/>
    <n v="76.961228023819999"/>
    <s v="Fail"/>
    <n v="2.8496621985053299"/>
    <x v="3"/>
    <s v="Trans-Eurasian Hub"/>
    <n v="787.77985049434403"/>
    <x v="18"/>
    <n v="0.99131838897598923"/>
    <n v="0.38099617833574256"/>
    <n v="16"/>
    <n v="62"/>
  </r>
  <r>
    <x v="1"/>
    <s v="SKU19"/>
    <n v="51.123870087964697"/>
    <n v="9560.1637064493989"/>
    <n v="7006.6681214581895"/>
    <s v="Discount Applied"/>
    <n v="100"/>
    <n v="187"/>
    <n v="2553.4955849912099"/>
    <x v="2"/>
    <n v="48"/>
    <n v="11"/>
    <n v="94"/>
    <n v="3"/>
    <x v="1"/>
    <n v="4.7426358828418698"/>
    <x v="3"/>
    <x v="2"/>
    <n v="28"/>
    <n v="581"/>
    <n v="9"/>
    <n v="5.6046908643717801"/>
    <s v="Pending"/>
    <n v="2.9081221693512598"/>
    <x v="2"/>
    <s v="Indo-Pacific Corridor"/>
    <n v="882.19886354704101"/>
    <x v="19"/>
    <n v="0.99594777966015191"/>
    <n v="9.6466279937552149E-3"/>
    <n v="31"/>
    <n v="3.8958333333333335"/>
  </r>
  <r>
    <x v="1"/>
    <s v="SKU20"/>
    <n v="96.341072439963298"/>
    <n v="30829.143180788255"/>
    <n v="22701.115483937065"/>
    <s v="Discount Applied"/>
    <n v="22"/>
    <n v="320"/>
    <n v="8128.0276968511898"/>
    <x v="2"/>
    <n v="27"/>
    <n v="12"/>
    <n v="68"/>
    <n v="6"/>
    <x v="1"/>
    <n v="8.8783346509268402"/>
    <x v="1"/>
    <x v="4"/>
    <n v="17"/>
    <n v="328"/>
    <n v="6"/>
    <n v="8.6930424258772803"/>
    <s v="Fail"/>
    <n v="0.15948631471751401"/>
    <x v="1"/>
    <s v="Americas Gateway"/>
    <n v="771.225084681157"/>
    <x v="20"/>
    <n v="0.99783817455695778"/>
    <n v="2.6503178127674634E-2"/>
    <n v="23"/>
    <n v="11.851851851851851"/>
  </r>
  <r>
    <x v="2"/>
    <s v="SKU21"/>
    <n v="84.893868984950799"/>
    <n v="51021.215259955432"/>
    <n v="43934.162563598002"/>
    <s v="Discount Applied"/>
    <n v="60"/>
    <n v="601"/>
    <n v="7087.0526963574302"/>
    <x v="2"/>
    <n v="69"/>
    <n v="25"/>
    <n v="7"/>
    <n v="6"/>
    <x v="0"/>
    <n v="6.0378837692182898"/>
    <x v="2"/>
    <x v="0"/>
    <n v="22"/>
    <n v="564"/>
    <n v="1"/>
    <n v="99.466108603599096"/>
    <s v="Fail"/>
    <n v="0.39817718685065001"/>
    <x v="0"/>
    <s v="Americas Gateway"/>
    <n v="802.05631181755803"/>
    <x v="21"/>
    <n v="0.98511313561601654"/>
    <n v="0.17635834858794167"/>
    <n v="28"/>
    <n v="8.7101449275362324"/>
  </r>
  <r>
    <x v="0"/>
    <s v="SKU22"/>
    <n v="27.679780886501899"/>
    <n v="24468.926303667678"/>
    <n v="22078.118437111509"/>
    <s v="Discount Applied"/>
    <n v="55"/>
    <n v="884"/>
    <n v="2390.8078665561702"/>
    <x v="2"/>
    <n v="71"/>
    <n v="1"/>
    <n v="63"/>
    <n v="10"/>
    <x v="1"/>
    <n v="9.5676489209230393"/>
    <x v="3"/>
    <x v="3"/>
    <n v="16"/>
    <n v="358"/>
    <n v="21"/>
    <n v="1.59722274305067"/>
    <s v="Fail"/>
    <n v="4.9110959548423301"/>
    <x v="2"/>
    <s v="Americas Gateway"/>
    <n v="555.85910367174301"/>
    <x v="22"/>
    <n v="0.99533008410246859"/>
    <n v="4.4615160420409779E-3"/>
    <n v="26"/>
    <n v="12.450704225352112"/>
  </r>
  <r>
    <x v="2"/>
    <s v="SKU23"/>
    <n v="4.3243411858641601"/>
    <n v="1690.8174036728865"/>
    <n v="-7167.5501673385934"/>
    <s v="Premium Markup"/>
    <n v="30"/>
    <n v="391"/>
    <n v="8858.3675710114803"/>
    <x v="2"/>
    <n v="84"/>
    <n v="5"/>
    <n v="29"/>
    <n v="7"/>
    <x v="1"/>
    <n v="2.92485760114555"/>
    <x v="2"/>
    <x v="3"/>
    <n v="24"/>
    <n v="867"/>
    <n v="28"/>
    <n v="42.084436738309897"/>
    <s v="Fail"/>
    <n v="3.44806328834026"/>
    <x v="0"/>
    <s v="Indo-Pacific Corridor"/>
    <n v="393.84334857842703"/>
    <x v="23"/>
    <n v="0.99491900804762878"/>
    <n v="4.8540296122618107E-2"/>
    <n v="31"/>
    <n v="4.6547619047619051"/>
  </r>
  <r>
    <x v="0"/>
    <s v="SKU24"/>
    <n v="4.1563083593111001"/>
    <n v="868.66844709601992"/>
    <n v="-8180.4094138438695"/>
    <s v="Premium Markup"/>
    <n v="32"/>
    <n v="209"/>
    <n v="9049.0778609398894"/>
    <x v="3"/>
    <n v="4"/>
    <n v="26"/>
    <n v="2"/>
    <n v="8"/>
    <x v="2"/>
    <n v="9.7412916892843597"/>
    <x v="4"/>
    <x v="3"/>
    <n v="16"/>
    <n v="329"/>
    <n v="7"/>
    <n v="39.292875586065698"/>
    <s v="Pass"/>
    <n v="3.8780989365884802"/>
    <x v="0"/>
    <s v="Trans-Eurasian Hub"/>
    <n v="764.93537594070801"/>
    <x v="24"/>
    <n v="0.99458130783833743"/>
    <n v="0.11943123278439421"/>
    <n v="24"/>
    <n v="52.25"/>
  </r>
  <r>
    <x v="0"/>
    <s v="SKU25"/>
    <n v="39.629343985092603"/>
    <n v="5627.3668458831498"/>
    <n v="3452.5897915324999"/>
    <s v="Discount Applied"/>
    <n v="73"/>
    <n v="142"/>
    <n v="2174.7770543506499"/>
    <x v="3"/>
    <n v="82"/>
    <n v="11"/>
    <n v="52"/>
    <n v="3"/>
    <x v="2"/>
    <n v="2.2310736812817198"/>
    <x v="3"/>
    <x v="4"/>
    <n v="1"/>
    <n v="631"/>
    <n v="17"/>
    <n v="83.344058991677898"/>
    <s v="Pending"/>
    <n v="1.41034757607602"/>
    <x v="1"/>
    <s v="Trans-Eurasian Hub"/>
    <n v="750.73784066827"/>
    <x v="25"/>
    <n v="0.96065107800279281"/>
    <n v="0.13208250236399033"/>
    <n v="4"/>
    <n v="1.7317073170731707"/>
  </r>
  <r>
    <x v="0"/>
    <s v="SKU26"/>
    <n v="97.446946617892806"/>
    <n v="34398.77215611616"/>
    <n v="30682.278830222131"/>
    <s v="Discount Applied"/>
    <n v="9"/>
    <n v="353"/>
    <n v="3716.49332589403"/>
    <x v="3"/>
    <n v="59"/>
    <n v="16"/>
    <n v="48"/>
    <n v="4"/>
    <x v="0"/>
    <n v="6.5075486210785503"/>
    <x v="4"/>
    <x v="0"/>
    <n v="2"/>
    <n v="258"/>
    <n v="10"/>
    <n v="30.661677477859499"/>
    <s v="Pending"/>
    <n v="2.07875060787496"/>
    <x v="0"/>
    <s v="Indo-Pacific Corridor"/>
    <n v="405.167067888855"/>
    <x v="26"/>
    <n v="0.98999884492191392"/>
    <n v="0.11884371115449419"/>
    <n v="6"/>
    <n v="5.9830508474576272"/>
  </r>
  <r>
    <x v="2"/>
    <s v="SKU27"/>
    <n v="92.557360812401996"/>
    <n v="32580.191005965502"/>
    <n v="29893.733782389521"/>
    <s v="Discount Applied"/>
    <n v="42"/>
    <n v="352"/>
    <n v="2686.4572235759802"/>
    <x v="2"/>
    <n v="47"/>
    <n v="9"/>
    <n v="62"/>
    <n v="8"/>
    <x v="2"/>
    <n v="7.4067509529980704"/>
    <x v="2"/>
    <x v="2"/>
    <n v="29"/>
    <n v="309"/>
    <n v="6"/>
    <n v="65.686259608488598"/>
    <s v="Pass"/>
    <n v="4.2314165735345304"/>
    <x v="1"/>
    <s v="Trans-Eurasian Hub"/>
    <n v="493.871215316205"/>
    <x v="27"/>
    <n v="0.97279204376677497"/>
    <n v="0.2125768919368563"/>
    <n v="37"/>
    <n v="7.4893617021276597"/>
  </r>
  <r>
    <x v="2"/>
    <s v="SKU28"/>
    <n v="2.3972747055971402"/>
    <n v="944.52623400527318"/>
    <n v="-5172.7983810787164"/>
    <s v="Premium Markup"/>
    <n v="12"/>
    <n v="394"/>
    <n v="6117.3246150839896"/>
    <x v="1"/>
    <n v="48"/>
    <n v="15"/>
    <n v="24"/>
    <n v="4"/>
    <x v="0"/>
    <n v="9.8981405080692202"/>
    <x v="1"/>
    <x v="4"/>
    <n v="28"/>
    <n v="177"/>
    <n v="28"/>
    <n v="14.1478154439792"/>
    <s v="Pass"/>
    <n v="2.8258139854001301"/>
    <x v="2"/>
    <s v="Indo-Pacific Corridor"/>
    <n v="336.89016851997701"/>
    <x v="28"/>
    <n v="0.99606920386523934"/>
    <n v="7.9931160700447451E-2"/>
    <n v="32"/>
    <n v="8.2083333333333339"/>
  </r>
  <r>
    <x v="2"/>
    <s v="SKU29"/>
    <n v="63.447559185207297"/>
    <n v="16052.232473857446"/>
    <n v="7733.3292792402754"/>
    <s v="Discount Applied"/>
    <n v="3"/>
    <n v="253"/>
    <n v="8318.9031946171708"/>
    <x v="1"/>
    <n v="45"/>
    <n v="5"/>
    <n v="67"/>
    <n v="7"/>
    <x v="0"/>
    <n v="8.1009731453970293"/>
    <x v="1"/>
    <x v="2"/>
    <n v="13"/>
    <n v="444"/>
    <n v="4"/>
    <n v="46.870238797617098"/>
    <s v="Fail"/>
    <n v="4.6205460645137002"/>
    <x v="0"/>
    <s v="Indo-Pacific Corridor"/>
    <n v="866.472800129657"/>
    <x v="29"/>
    <n v="0.99339201206493388"/>
    <n v="0.105563600895534"/>
    <n v="20"/>
    <n v="5.6222222222222218"/>
  </r>
  <r>
    <x v="0"/>
    <s v="SKU30"/>
    <n v="8.0228592105263896"/>
    <n v="2623.4749618421292"/>
    <n v="-142.8674050239506"/>
    <s v="Premium Markup"/>
    <n v="10"/>
    <n v="327"/>
    <n v="2766.3423668660798"/>
    <x v="3"/>
    <n v="60"/>
    <n v="26"/>
    <n v="35"/>
    <n v="7"/>
    <x v="0"/>
    <n v="8.9545283153180097"/>
    <x v="3"/>
    <x v="0"/>
    <n v="5"/>
    <n v="228"/>
    <n v="12"/>
    <n v="57.870902924036201"/>
    <s v="Pending"/>
    <n v="0.16587162748060799"/>
    <x v="1"/>
    <s v="Americas Gateway"/>
    <n v="351.50421933503799"/>
    <x v="30"/>
    <n v="0.97584339811306176"/>
    <n v="0.25381974966682547"/>
    <n v="12"/>
    <n v="5.45"/>
  </r>
  <r>
    <x v="1"/>
    <s v="SKU31"/>
    <n v="50.847393051718697"/>
    <n v="8542.3620326887412"/>
    <n v="-1112.7730700306493"/>
    <s v="Premium Markup"/>
    <n v="28"/>
    <n v="168"/>
    <n v="9655.1351027193905"/>
    <x v="3"/>
    <n v="6"/>
    <n v="17"/>
    <n v="44"/>
    <n v="4"/>
    <x v="0"/>
    <n v="2.6796609649813998"/>
    <x v="0"/>
    <x v="4"/>
    <n v="12"/>
    <n v="908"/>
    <n v="14"/>
    <n v="60.387378614862101"/>
    <s v="Pass"/>
    <n v="1.4636074984727701"/>
    <x v="2"/>
    <s v="Trans-Eurasian Hub"/>
    <n v="846.66525698669398"/>
    <x v="31"/>
    <n v="0.9934680313730585"/>
    <n v="6.6505923584649893E-2"/>
    <n v="16"/>
    <n v="28"/>
  </r>
  <r>
    <x v="1"/>
    <s v="SKU32"/>
    <n v="79.209936015656695"/>
    <n v="61862.960028227877"/>
    <n v="52291.409540900066"/>
    <s v="Discount Applied"/>
    <n v="43"/>
    <n v="781"/>
    <n v="9571.5504873278096"/>
    <x v="2"/>
    <n v="89"/>
    <n v="13"/>
    <n v="64"/>
    <n v="4"/>
    <x v="2"/>
    <n v="6.5991049012385803"/>
    <x v="0"/>
    <x v="3"/>
    <n v="14"/>
    <n v="314"/>
    <n v="24"/>
    <n v="1.0850685695870601"/>
    <s v="Pending"/>
    <n v="1.0009106193041299"/>
    <x v="3"/>
    <s v="Indo-Pacific Corridor"/>
    <n v="134.36909686103101"/>
    <x v="32"/>
    <n v="0.99919718613186037"/>
    <n v="3.4556323872199368E-3"/>
    <n v="18"/>
    <n v="8.7752808988764048"/>
  </r>
  <r>
    <x v="2"/>
    <s v="SKU33"/>
    <n v="64.795435000155607"/>
    <n v="39913.987960095852"/>
    <n v="34763.989609687822"/>
    <s v="Discount Applied"/>
    <n v="63"/>
    <n v="616"/>
    <n v="5149.9983504080301"/>
    <x v="0"/>
    <n v="4"/>
    <n v="17"/>
    <n v="95"/>
    <n v="9"/>
    <x v="2"/>
    <n v="4.85827050343664"/>
    <x v="2"/>
    <x v="3"/>
    <n v="24"/>
    <n v="937"/>
    <n v="18"/>
    <n v="35.624741397125"/>
    <s v="Fail"/>
    <n v="4.7466486206477496"/>
    <x v="2"/>
    <s v="Indo-Pacific Corridor"/>
    <n v="254.776159219286"/>
    <x v="33"/>
    <n v="0.99213921847230213"/>
    <n v="3.8020001491061897E-2"/>
    <n v="33"/>
    <n v="154"/>
  </r>
  <r>
    <x v="1"/>
    <s v="SKU34"/>
    <n v="37.467592329842397"/>
    <n v="22555.490582565122"/>
    <n v="13493.779687057402"/>
    <s v="Discount Applied"/>
    <n v="96"/>
    <n v="602"/>
    <n v="9061.7108955077201"/>
    <x v="2"/>
    <n v="1"/>
    <n v="26"/>
    <n v="21"/>
    <n v="7"/>
    <x v="1"/>
    <n v="1.0194875708221101"/>
    <x v="1"/>
    <x v="1"/>
    <n v="28"/>
    <n v="648"/>
    <n v="28"/>
    <n v="17.803756331391199"/>
    <s v="Pending"/>
    <n v="3.8720476814821301"/>
    <x v="0"/>
    <s v="Indo-Pacific Corridor"/>
    <n v="188.74214114905601"/>
    <x v="34"/>
    <n v="0.99792277152523756"/>
    <n v="2.7474932610171605E-2"/>
    <n v="35"/>
    <n v="602"/>
  </r>
  <r>
    <x v="2"/>
    <s v="SKU35"/>
    <n v="84.957786816350406"/>
    <n v="38146.046280541334"/>
    <n v="31604.716935738874"/>
    <s v="Discount Applied"/>
    <n v="11"/>
    <n v="449"/>
    <n v="6541.3293448024597"/>
    <x v="1"/>
    <n v="42"/>
    <n v="27"/>
    <n v="85"/>
    <n v="8"/>
    <x v="2"/>
    <n v="5.2881899903273997"/>
    <x v="1"/>
    <x v="4"/>
    <n v="26"/>
    <n v="671"/>
    <n v="19"/>
    <n v="45.531364237162101"/>
    <s v="Fail"/>
    <n v="3.8055333792433501"/>
    <x v="1"/>
    <s v="Americas Gateway"/>
    <n v="403.80897424817999"/>
    <x v="35"/>
    <n v="0.9922310051139881"/>
    <n v="6.7855982469690171E-2"/>
    <n v="34"/>
    <n v="10.69047619047619"/>
  </r>
  <r>
    <x v="1"/>
    <s v="SKU36"/>
    <n v="9.81300257875405"/>
    <n v="9449.9214833401493"/>
    <n v="1876.5190254914196"/>
    <s v="Discount Applied"/>
    <n v="34"/>
    <n v="963"/>
    <n v="7573.4024578487297"/>
    <x v="1"/>
    <n v="18"/>
    <n v="23"/>
    <n v="28"/>
    <n v="3"/>
    <x v="0"/>
    <n v="2.1079512671590801"/>
    <x v="4"/>
    <x v="1"/>
    <n v="13"/>
    <n v="769"/>
    <n v="8"/>
    <n v="11.423027139565599"/>
    <s v="Pending"/>
    <n v="2.7098626911099601"/>
    <x v="3"/>
    <s v="Trans-Eurasian Hub"/>
    <n v="505.55713422546398"/>
    <x v="36"/>
    <n v="0.99821335542617284"/>
    <n v="1.4854391598914954E-2"/>
    <n v="16"/>
    <n v="53.5"/>
  </r>
  <r>
    <x v="1"/>
    <s v="SKU37"/>
    <n v="23.3998447526143"/>
    <n v="22534.05049676757"/>
    <n v="20095.710566297548"/>
    <s v="Discount Applied"/>
    <n v="5"/>
    <n v="963"/>
    <n v="2438.3399304700201"/>
    <x v="1"/>
    <n v="25"/>
    <n v="8"/>
    <n v="21"/>
    <n v="9"/>
    <x v="1"/>
    <n v="1.53265527359043"/>
    <x v="0"/>
    <x v="1"/>
    <n v="23"/>
    <n v="517"/>
    <n v="30"/>
    <n v="33.616768953730002"/>
    <s v="Pending"/>
    <n v="4.8540680263886999"/>
    <x v="0"/>
    <s v="Trans-Eurasian Hub"/>
    <n v="503.06557914966902"/>
    <x v="37"/>
    <n v="0.98558469072007315"/>
    <n v="6.5022763933713743E-2"/>
    <n v="32"/>
    <n v="38.520000000000003"/>
  </r>
  <r>
    <x v="2"/>
    <s v="SKU38"/>
    <n v="52.075930682707799"/>
    <n v="36713.531131308999"/>
    <n v="27021.213091090569"/>
    <s v="Discount Applied"/>
    <n v="75"/>
    <n v="705"/>
    <n v="9692.3180402184298"/>
    <x v="0"/>
    <n v="69"/>
    <n v="1"/>
    <n v="88"/>
    <n v="5"/>
    <x v="0"/>
    <n v="9.2359314372492207"/>
    <x v="2"/>
    <x v="1"/>
    <n v="9"/>
    <n v="109"/>
    <n v="18"/>
    <n v="23.126363582464698"/>
    <s v="Fail"/>
    <n v="1.6981125407144"/>
    <x v="2"/>
    <s v="Trans-Eurasian Hub"/>
    <n v="768.65191395437"/>
    <x v="38"/>
    <n v="0.99666103661833783"/>
    <n v="0.21216847323362109"/>
    <n v="14"/>
    <n v="10.217391304347826"/>
  </r>
  <r>
    <x v="1"/>
    <s v="SKU39"/>
    <n v="19.127477265823199"/>
    <n v="3366.4359987848829"/>
    <n v="1453.970335684123"/>
    <s v="Discount Applied"/>
    <n v="26"/>
    <n v="176"/>
    <n v="1912.4656631007599"/>
    <x v="1"/>
    <n v="78"/>
    <n v="29"/>
    <n v="34"/>
    <n v="3"/>
    <x v="1"/>
    <n v="5.5625037788303802"/>
    <x v="4"/>
    <x v="1"/>
    <n v="18"/>
    <n v="450"/>
    <n v="26"/>
    <n v="58.890685768589897"/>
    <s v="Pending"/>
    <n v="1.21088212958506"/>
    <x v="1"/>
    <s v="Indo-Pacific Corridor"/>
    <n v="778.86424137664699"/>
    <x v="39"/>
    <n v="0.96629838078090258"/>
    <n v="0.13086819059686644"/>
    <n v="21"/>
    <n v="2.2564102564102564"/>
  </r>
  <r>
    <x v="1"/>
    <s v="SKU40"/>
    <n v="80.541424170940303"/>
    <n v="75145.148751487301"/>
    <n v="69420.189401031035"/>
    <s v="Discount Applied"/>
    <n v="97"/>
    <n v="933"/>
    <n v="5724.9593504562599"/>
    <x v="1"/>
    <n v="90"/>
    <n v="20"/>
    <n v="39"/>
    <n v="8"/>
    <x v="2"/>
    <n v="7.2295951397364702"/>
    <x v="1"/>
    <x v="4"/>
    <n v="7"/>
    <n v="834"/>
    <n v="18"/>
    <n v="22.554106620887701"/>
    <s v="Fail"/>
    <n v="2.9626263204548802"/>
    <x v="2"/>
    <s v="Indo-Pacific Corridor"/>
    <n v="610.45326961922694"/>
    <x v="40"/>
    <n v="0.99479756974025491"/>
    <n v="2.7043293310416907E-2"/>
    <n v="15"/>
    <n v="10.366666666666667"/>
  </r>
  <r>
    <x v="1"/>
    <s v="SKU41"/>
    <n v="99.113291615317095"/>
    <n v="55106.990138116307"/>
    <n v="49585.78487910534"/>
    <s v="Discount Applied"/>
    <n v="35"/>
    <n v="556"/>
    <n v="5521.2052590109697"/>
    <x v="1"/>
    <n v="64"/>
    <n v="19"/>
    <n v="38"/>
    <n v="8"/>
    <x v="0"/>
    <n v="5.7732637437666501"/>
    <x v="3"/>
    <x v="3"/>
    <n v="10"/>
    <n v="964"/>
    <n v="20"/>
    <n v="19.7129929112936"/>
    <s v="Pending"/>
    <n v="0.38057358671321301"/>
    <x v="2"/>
    <s v="Indo-Pacific Corridor"/>
    <n v="581.60235505058597"/>
    <x v="41"/>
    <n v="0.99538393240978229"/>
    <n v="2.0449162771051452E-2"/>
    <n v="18"/>
    <n v="8.6875"/>
  </r>
  <r>
    <x v="1"/>
    <s v="SKU42"/>
    <n v="46.529167614516702"/>
    <n v="7212.0209802500885"/>
    <n v="5372.4115543933285"/>
    <s v="Discount Applied"/>
    <n v="98"/>
    <n v="155"/>
    <n v="1839.60942585676"/>
    <x v="1"/>
    <n v="22"/>
    <n v="27"/>
    <n v="57"/>
    <n v="4"/>
    <x v="2"/>
    <n v="7.5262483268515004"/>
    <x v="2"/>
    <x v="2"/>
    <n v="19"/>
    <n v="791"/>
    <n v="4"/>
    <n v="61.735728954160898"/>
    <s v="Pending"/>
    <n v="1.8607567631014899E-2"/>
    <x v="1"/>
    <s v="Americas Gateway"/>
    <n v="523.36091472015801"/>
    <x v="42"/>
    <n v="0.96234962905305022"/>
    <n v="7.8047697792870921E-2"/>
    <n v="23"/>
    <n v="7.0454545454545459"/>
  </r>
  <r>
    <x v="0"/>
    <s v="SKU43"/>
    <n v="11.7432717763092"/>
    <n v="7022.4765222329015"/>
    <n v="1285.0509231138813"/>
    <s v="Discount Applied"/>
    <n v="6"/>
    <n v="598"/>
    <n v="5737.4255991190203"/>
    <x v="2"/>
    <n v="36"/>
    <n v="29"/>
    <n v="85"/>
    <n v="9"/>
    <x v="0"/>
    <n v="3.6940212683884499"/>
    <x v="2"/>
    <x v="0"/>
    <n v="22"/>
    <n v="775"/>
    <n v="16"/>
    <n v="11.440781823761199"/>
    <s v="Pass"/>
    <n v="1.8305755986122301"/>
    <x v="0"/>
    <s v="Americas Gateway"/>
    <n v="183.27289874871099"/>
    <x v="43"/>
    <n v="0.9973620916157111"/>
    <n v="1.4762299127433806E-2"/>
    <n v="31"/>
    <n v="16.611111111111111"/>
  </r>
  <r>
    <x v="2"/>
    <s v="SKU44"/>
    <n v="51.355790913110297"/>
    <n v="47195.971849148365"/>
    <n v="40043.685799712854"/>
    <s v="Discount Applied"/>
    <n v="34"/>
    <n v="919"/>
    <n v="7152.28604943551"/>
    <x v="1"/>
    <n v="13"/>
    <n v="19"/>
    <n v="72"/>
    <n v="6"/>
    <x v="2"/>
    <n v="7.5774496573766896"/>
    <x v="4"/>
    <x v="3"/>
    <n v="14"/>
    <n v="480"/>
    <n v="12"/>
    <n v="78.702393968878894"/>
    <s v="Fail"/>
    <n v="4.3674705382050503"/>
    <x v="1"/>
    <s v="Indo-Pacific Corridor"/>
    <n v="164.366528243419"/>
    <x v="44"/>
    <n v="0.98793674595368497"/>
    <n v="0.16396332076849771"/>
    <n v="20"/>
    <n v="70.692307692307693"/>
  </r>
  <r>
    <x v="0"/>
    <s v="SKU45"/>
    <n v="33.784138033065503"/>
    <n v="810.81931279357207"/>
    <n v="-4457.1374947169479"/>
    <s v="Premium Markup"/>
    <n v="1"/>
    <n v="24"/>
    <n v="5267.9568075105199"/>
    <x v="3"/>
    <n v="93"/>
    <n v="7"/>
    <n v="52"/>
    <n v="6"/>
    <x v="0"/>
    <n v="5.2151550087119096"/>
    <x v="4"/>
    <x v="4"/>
    <n v="3"/>
    <n v="367"/>
    <n v="2"/>
    <n v="58.004787044743701"/>
    <s v="Pass"/>
    <n v="0.54115409806058101"/>
    <x v="3"/>
    <s v="Americas Gateway"/>
    <n v="553.42047123035502"/>
    <x v="45"/>
    <n v="0.98799915330298027"/>
    <n v="0.15805119085761227"/>
    <n v="9"/>
    <n v="0.25806451612903225"/>
  </r>
  <r>
    <x v="0"/>
    <s v="SKU46"/>
    <n v="27.082207199888899"/>
    <n v="23263.615984704564"/>
    <n v="20706.848624070975"/>
    <s v="Discount Applied"/>
    <n v="75"/>
    <n v="859"/>
    <n v="2556.7673606335902"/>
    <x v="0"/>
    <n v="92"/>
    <n v="29"/>
    <n v="6"/>
    <n v="8"/>
    <x v="0"/>
    <n v="4.0709558370840799"/>
    <x v="0"/>
    <x v="0"/>
    <n v="3"/>
    <n v="399"/>
    <n v="21"/>
    <n v="77.106342497849994"/>
    <s v="Pass"/>
    <n v="1.01256308925804"/>
    <x v="1"/>
    <s v="Indo-Pacific Corridor"/>
    <n v="865.52577977123997"/>
    <x v="46"/>
    <n v="0.96825002556555717"/>
    <n v="0.19324897869135338"/>
    <n v="11"/>
    <n v="9.3369565217391308"/>
  </r>
  <r>
    <x v="1"/>
    <s v="SKU47"/>
    <n v="95.712135880936003"/>
    <n v="87098.043651651766"/>
    <n v="80008.569401717585"/>
    <s v="Discount Applied"/>
    <n v="93"/>
    <n v="910"/>
    <n v="7089.4742499341801"/>
    <x v="3"/>
    <n v="4"/>
    <n v="15"/>
    <n v="51"/>
    <n v="9"/>
    <x v="0"/>
    <n v="8.9787507559499709"/>
    <x v="1"/>
    <x v="3"/>
    <n v="28"/>
    <n v="362"/>
    <n v="11"/>
    <n v="27.5923630866636"/>
    <s v="Pending"/>
    <n v="2.1169821372994301E-2"/>
    <x v="1"/>
    <s v="Indo-Pacific Corridor"/>
    <n v="126.72303340940699"/>
    <x v="47"/>
    <n v="0.99484149140636868"/>
    <n v="7.6221997476971268E-2"/>
    <n v="37"/>
    <n v="227.5"/>
  </r>
  <r>
    <x v="0"/>
    <s v="SKU48"/>
    <n v="76.035544426891704"/>
    <n v="2205.0307883798596"/>
    <n v="-5192.0402162073206"/>
    <s v="Premium Markup"/>
    <n v="28"/>
    <n v="29"/>
    <n v="7397.0710045871801"/>
    <x v="0"/>
    <n v="30"/>
    <n v="16"/>
    <n v="9"/>
    <n v="3"/>
    <x v="2"/>
    <n v="7.0958331565551296"/>
    <x v="4"/>
    <x v="3"/>
    <n v="26"/>
    <n v="497"/>
    <n v="29"/>
    <n v="30.186023375822501"/>
    <s v="Pass"/>
    <n v="2.4787719755397402"/>
    <x v="0"/>
    <s v="Trans-Eurasian Hub"/>
    <n v="814.06999658218695"/>
    <x v="48"/>
    <n v="0.99495991636294179"/>
    <n v="6.0736465544914485E-2"/>
    <n v="29"/>
    <n v="0.96666666666666667"/>
  </r>
  <r>
    <x v="2"/>
    <s v="SKU49"/>
    <n v="78.897913205639995"/>
    <n v="7810.8934073583596"/>
    <n v="-190.71979916064083"/>
    <s v="Premium Markup"/>
    <n v="19"/>
    <n v="99"/>
    <n v="8001.6132065190004"/>
    <x v="2"/>
    <n v="97"/>
    <n v="24"/>
    <n v="9"/>
    <n v="6"/>
    <x v="2"/>
    <n v="2.5056210329009101"/>
    <x v="2"/>
    <x v="1"/>
    <n v="13"/>
    <n v="171"/>
    <n v="7"/>
    <n v="59.429381810691503"/>
    <s v="Fail"/>
    <n v="0.81575707929567198"/>
    <x v="1"/>
    <s v="Indo-Pacific Corridor"/>
    <n v="123.437027511827"/>
    <x v="49"/>
    <n v="0.99225968548528032"/>
    <n v="0.34754024450696785"/>
    <n v="19"/>
    <n v="1.0206185567010309"/>
  </r>
  <r>
    <x v="2"/>
    <s v="SKU50"/>
    <n v="14.203484264803"/>
    <n v="8990.8055396202999"/>
    <n v="3079.9201499514102"/>
    <s v="Discount Applied"/>
    <n v="91"/>
    <n v="633"/>
    <n v="5910.8853896688897"/>
    <x v="1"/>
    <n v="31"/>
    <n v="23"/>
    <n v="82"/>
    <n v="10"/>
    <x v="1"/>
    <n v="6.2478609149759903"/>
    <x v="4"/>
    <x v="3"/>
    <n v="23"/>
    <n v="370"/>
    <n v="11"/>
    <n v="46.603873381644398"/>
    <s v="Pending"/>
    <n v="1.9076657339590699"/>
    <x v="2"/>
    <s v="Trans-Eurasian Hub"/>
    <n v="517.49997392906005"/>
    <x v="50"/>
    <n v="0.99105857569341549"/>
    <n v="0.12595641454498485"/>
    <n v="33"/>
    <n v="20.419354838709676"/>
  </r>
  <r>
    <x v="0"/>
    <s v="SKU51"/>
    <n v="26.700760972461701"/>
    <n v="4111.9171897591023"/>
    <n v="-5754.5482682205875"/>
    <s v="Premium Markup"/>
    <n v="61"/>
    <n v="154"/>
    <n v="9866.4654579796897"/>
    <x v="3"/>
    <n v="100"/>
    <n v="4"/>
    <n v="52"/>
    <n v="1"/>
    <x v="1"/>
    <n v="4.78300055794766"/>
    <x v="2"/>
    <x v="4"/>
    <n v="20"/>
    <n v="306"/>
    <n v="21"/>
    <n v="45.178757924634503"/>
    <s v="Fail"/>
    <n v="4.7548008046711798"/>
    <x v="2"/>
    <s v="Trans-Eurasian Hub"/>
    <n v="496.24865029194001"/>
    <x v="51"/>
    <n v="0.9949362049970818"/>
    <n v="0.14764299975370754"/>
    <n v="21"/>
    <n v="1.54"/>
  </r>
  <r>
    <x v="1"/>
    <s v="SKU52"/>
    <n v="98.031829656465007"/>
    <n v="80386.100318301309"/>
    <n v="70950.337709389176"/>
    <s v="Discount Applied"/>
    <n v="1"/>
    <n v="820"/>
    <n v="9435.7626089121295"/>
    <x v="3"/>
    <n v="64"/>
    <n v="11"/>
    <n v="11"/>
    <n v="1"/>
    <x v="0"/>
    <n v="8.6310521797689397"/>
    <x v="1"/>
    <x v="1"/>
    <n v="1"/>
    <n v="206"/>
    <n v="23"/>
    <n v="26.2773659573324"/>
    <s v="Pending"/>
    <n v="0.37230476798509698"/>
    <x v="1"/>
    <s v="Indo-Pacific Corridor"/>
    <n v="716.04411975933999"/>
    <x v="52"/>
    <n v="0.99630041369373468"/>
    <n v="0.12756002891908932"/>
    <n v="2"/>
    <n v="12.8125"/>
  </r>
  <r>
    <x v="1"/>
    <s v="SKU53"/>
    <n v="30.3414707112142"/>
    <n v="7342.6359121138366"/>
    <n v="-889.69891731198277"/>
    <s v="Premium Markup"/>
    <n v="93"/>
    <n v="242"/>
    <n v="8232.3348294258194"/>
    <x v="3"/>
    <n v="96"/>
    <n v="25"/>
    <n v="54"/>
    <n v="3"/>
    <x v="0"/>
    <n v="1.0134865660958901"/>
    <x v="1"/>
    <x v="3"/>
    <n v="18"/>
    <n v="793"/>
    <n v="1"/>
    <n v="88.179407104217404"/>
    <s v="Pending"/>
    <n v="4.2132694305865597"/>
    <x v="0"/>
    <s v="Indo-Pacific Corridor"/>
    <n v="529.80872398069096"/>
    <x v="53"/>
    <n v="0.98916554106236054"/>
    <n v="0.11119723468375461"/>
    <n v="21"/>
    <n v="2.5208333333333335"/>
  </r>
  <r>
    <x v="0"/>
    <s v="SKU54"/>
    <n v="31.1462431602408"/>
    <n v="19372.963245669776"/>
    <n v="13284.941765728927"/>
    <s v="Discount Applied"/>
    <n v="11"/>
    <n v="622"/>
    <n v="6088.0214799408504"/>
    <x v="0"/>
    <n v="33"/>
    <n v="22"/>
    <n v="61"/>
    <n v="3"/>
    <x v="0"/>
    <n v="4.3051034712876302"/>
    <x v="1"/>
    <x v="4"/>
    <n v="1"/>
    <n v="919"/>
    <n v="9"/>
    <n v="80.580852156447804"/>
    <s v="Fail"/>
    <n v="0.39661272410993498"/>
    <x v="2"/>
    <s v="Indo-Pacific Corridor"/>
    <n v="341.55265678322297"/>
    <x v="54"/>
    <n v="0.98605688959747884"/>
    <n v="8.7683190594611327E-2"/>
    <n v="4"/>
    <n v="18.848484848484848"/>
  </r>
  <r>
    <x v="0"/>
    <s v="SKU55"/>
    <n v="79.855058340789398"/>
    <n v="55978.395896893366"/>
    <n v="53052.720726589556"/>
    <s v="Discount Applied"/>
    <n v="16"/>
    <n v="701"/>
    <n v="2925.6751703038099"/>
    <x v="3"/>
    <n v="97"/>
    <n v="11"/>
    <n v="11"/>
    <n v="5"/>
    <x v="1"/>
    <n v="5.0143649550309002"/>
    <x v="4"/>
    <x v="2"/>
    <n v="18"/>
    <n v="892"/>
    <n v="7"/>
    <n v="95.332064548772493"/>
    <s v="Fail"/>
    <n v="4.5302262398259602E-2"/>
    <x v="3"/>
    <s v="Indo-Pacific Corridor"/>
    <n v="275.52437113130901"/>
    <x v="55"/>
    <n v="0.96570144542280711"/>
    <n v="0.10687451182597812"/>
    <n v="23"/>
    <n v="7.2268041237113403"/>
  </r>
  <r>
    <x v="1"/>
    <s v="SKU56"/>
    <n v="20.9863860370433"/>
    <n v="1951.733901445027"/>
    <n v="-2815.2865828991025"/>
    <s v="Premium Markup"/>
    <n v="90"/>
    <n v="93"/>
    <n v="4767.0204843441297"/>
    <x v="0"/>
    <n v="25"/>
    <n v="23"/>
    <n v="83"/>
    <n v="5"/>
    <x v="2"/>
    <n v="1.77442971407173"/>
    <x v="1"/>
    <x v="0"/>
    <n v="14"/>
    <n v="580"/>
    <n v="7"/>
    <n v="97.121281751474299"/>
    <s v="Pass"/>
    <n v="2.2644057611985402"/>
    <x v="3"/>
    <s v="Trans-Eurasian Hub"/>
    <n v="127.861800001625"/>
    <x v="56"/>
    <n v="0.97925418785374641"/>
    <n v="0.16745048577840396"/>
    <n v="19"/>
    <n v="3.72"/>
  </r>
  <r>
    <x v="0"/>
    <s v="SKU57"/>
    <n v="49.263205350734097"/>
    <n v="11182.747614616641"/>
    <n v="9576.8807142242404"/>
    <s v="Discount Applied"/>
    <n v="65"/>
    <n v="227"/>
    <n v="1605.8669003924001"/>
    <x v="2"/>
    <n v="5"/>
    <n v="18"/>
    <n v="51"/>
    <n v="1"/>
    <x v="0"/>
    <n v="9.1605585353818704"/>
    <x v="4"/>
    <x v="0"/>
    <n v="25"/>
    <n v="985"/>
    <n v="24"/>
    <n v="64.323597795600193"/>
    <s v="Pending"/>
    <n v="2.1800374515822099"/>
    <x v="2"/>
    <s v="Indo-Pacific Corridor"/>
    <n v="997.41345013319403"/>
    <x v="57"/>
    <n v="0.95424019492958845"/>
    <n v="6.530314497015248E-2"/>
    <n v="26"/>
    <n v="45.4"/>
  </r>
  <r>
    <x v="1"/>
    <s v="SKU58"/>
    <n v="59.841561377289302"/>
    <n v="53618.038994051218"/>
    <n v="51596.88918371412"/>
    <s v="Discount Applied"/>
    <n v="81"/>
    <n v="896"/>
    <n v="2021.1498103371"/>
    <x v="0"/>
    <n v="10"/>
    <n v="5"/>
    <n v="44"/>
    <n v="7"/>
    <x v="1"/>
    <n v="4.9384385647120901"/>
    <x v="0"/>
    <x v="2"/>
    <n v="25"/>
    <n v="794"/>
    <n v="25"/>
    <n v="66.312544439991598"/>
    <s v="Pass"/>
    <n v="3.2196046120841002"/>
    <x v="2"/>
    <s v="Indo-Pacific Corridor"/>
    <n v="495.30569702847299"/>
    <x v="58"/>
    <n v="0.96474730243137197"/>
    <n v="8.35170584886544E-2"/>
    <n v="32"/>
    <n v="89.6"/>
  </r>
  <r>
    <x v="2"/>
    <s v="SKU59"/>
    <n v="63.828398347710902"/>
    <n v="30892.944800292076"/>
    <n v="29831.326277278797"/>
    <s v="Discount Applied"/>
    <n v="30"/>
    <n v="484"/>
    <n v="1061.6185230132801"/>
    <x v="0"/>
    <n v="100"/>
    <n v="16"/>
    <n v="26"/>
    <n v="7"/>
    <x v="0"/>
    <n v="7.2937225968677204"/>
    <x v="1"/>
    <x v="2"/>
    <n v="1"/>
    <n v="251"/>
    <n v="23"/>
    <n v="23.853427512896101"/>
    <s v="Fail"/>
    <n v="3.54104601225092"/>
    <x v="3"/>
    <s v="Indo-Pacific Corridor"/>
    <n v="371.25529551987103"/>
    <x v="59"/>
    <n v="0.97066069455781889"/>
    <n v="9.5033575748590046E-2"/>
    <n v="8"/>
    <n v="4.84"/>
  </r>
  <r>
    <x v="1"/>
    <s v="SKU60"/>
    <n v="17.028027920188698"/>
    <n v="6470.6506096717058"/>
    <n v="-2393.4337399147244"/>
    <s v="Premium Markup"/>
    <n v="16"/>
    <n v="380"/>
    <n v="8864.0843495864301"/>
    <x v="1"/>
    <n v="41"/>
    <n v="27"/>
    <n v="72"/>
    <n v="8"/>
    <x v="2"/>
    <n v="4.3813681581023101"/>
    <x v="3"/>
    <x v="2"/>
    <n v="27"/>
    <n v="523"/>
    <n v="17"/>
    <n v="28.696996824143099"/>
    <s v="Fail"/>
    <n v="3.6937377878392699"/>
    <x v="3"/>
    <s v="Trans-Eurasian Hub"/>
    <n v="879.35921773492396"/>
    <x v="60"/>
    <n v="0.99626827050852806"/>
    <n v="5.4869974807156975E-2"/>
    <n v="35"/>
    <n v="9.2682926829268286"/>
  </r>
  <r>
    <x v="0"/>
    <s v="SKU61"/>
    <n v="52.028749903294901"/>
    <n v="6087.3637386855034"/>
    <n v="-798.22561221074648"/>
    <s v="Premium Markup"/>
    <n v="23"/>
    <n v="117"/>
    <n v="6885.5893508962499"/>
    <x v="2"/>
    <n v="32"/>
    <n v="23"/>
    <n v="36"/>
    <n v="7"/>
    <x v="2"/>
    <n v="9.0303404225219399"/>
    <x v="3"/>
    <x v="2"/>
    <n v="29"/>
    <n v="963"/>
    <n v="23"/>
    <n v="47.957601634951502"/>
    <s v="Pending"/>
    <n v="3.8446144787675798"/>
    <x v="2"/>
    <s v="Trans-Eurasian Hub"/>
    <n v="995.92946149864099"/>
    <x v="61"/>
    <n v="0.99172359268708699"/>
    <n v="4.9800209382088789E-2"/>
    <n v="36"/>
    <n v="3.65625"/>
  </r>
  <r>
    <x v="2"/>
    <s v="SKU62"/>
    <n v="72.796353955587307"/>
    <n v="19655.015568008574"/>
    <n v="15755.268734279354"/>
    <s v="Discount Applied"/>
    <n v="89"/>
    <n v="270"/>
    <n v="3899.7468337292198"/>
    <x v="2"/>
    <n v="86"/>
    <n v="2"/>
    <n v="40"/>
    <n v="7"/>
    <x v="2"/>
    <n v="7.2917013887767697"/>
    <x v="4"/>
    <x v="1"/>
    <n v="24"/>
    <n v="826"/>
    <n v="28"/>
    <n v="12.8362845728327"/>
    <s v="Pass"/>
    <n v="1.1737554953874501"/>
    <x v="1"/>
    <s v="Trans-Eurasian Hub"/>
    <n v="832.210808706021"/>
    <x v="62"/>
    <n v="0.99483864291201651"/>
    <n v="1.5540296093017795E-2"/>
    <n v="31"/>
    <n v="3.13953488372093"/>
  </r>
  <r>
    <x v="1"/>
    <s v="SKU63"/>
    <n v="13.0173767852878"/>
    <n v="3202.2746891807988"/>
    <n v="-1054.6744516694212"/>
    <s v="Premium Markup"/>
    <n v="55"/>
    <n v="246"/>
    <n v="4256.9491408502199"/>
    <x v="0"/>
    <n v="54"/>
    <n v="19"/>
    <n v="10"/>
    <n v="4"/>
    <x v="1"/>
    <n v="2.45793352798733"/>
    <x v="0"/>
    <x v="2"/>
    <n v="21"/>
    <n v="824"/>
    <n v="20"/>
    <n v="35.633652343343797"/>
    <s v="Fail"/>
    <n v="4.1657817954241398"/>
    <x v="1"/>
    <s v="Indo-Pacific Corridor"/>
    <n v="823.52384588815505"/>
    <x v="63"/>
    <n v="0.99105190487107309"/>
    <n v="4.3244723717650237E-2"/>
    <n v="25"/>
    <n v="4.5555555555555554"/>
  </r>
  <r>
    <x v="1"/>
    <s v="SKU64"/>
    <n v="89.634095608135297"/>
    <n v="12010.968811490129"/>
    <n v="3552.2379331229586"/>
    <s v="Discount Applied"/>
    <n v="11"/>
    <n v="134"/>
    <n v="8458.7308783671706"/>
    <x v="1"/>
    <n v="73"/>
    <n v="27"/>
    <n v="75"/>
    <n v="6"/>
    <x v="2"/>
    <n v="4.5853534681946497"/>
    <x v="1"/>
    <x v="4"/>
    <n v="28"/>
    <n v="698"/>
    <n v="1"/>
    <n v="19.789592941903599"/>
    <s v="Pending"/>
    <n v="2.54754712154871"/>
    <x v="2"/>
    <s v="Trans-Eurasian Hub"/>
    <n v="276.77833594679799"/>
    <x v="64"/>
    <n v="0.99711836837457068"/>
    <n v="2.8351852352297421E-2"/>
    <n v="34"/>
    <n v="1.8356164383561644"/>
  </r>
  <r>
    <x v="1"/>
    <s v="SKU65"/>
    <n v="33.697717206643098"/>
    <n v="15399.856763435895"/>
    <n v="7045.2770769539056"/>
    <s v="Discount Applied"/>
    <n v="72"/>
    <n v="457"/>
    <n v="8354.5796864819895"/>
    <x v="3"/>
    <n v="57"/>
    <n v="24"/>
    <n v="54"/>
    <n v="8"/>
    <x v="2"/>
    <n v="6.5805413478845898"/>
    <x v="2"/>
    <x v="1"/>
    <n v="10"/>
    <n v="535"/>
    <n v="13"/>
    <n v="65.765155926367399"/>
    <s v="Fail"/>
    <n v="3.3762378347179798"/>
    <x v="0"/>
    <s v="Indo-Pacific Corridor"/>
    <n v="540.13242286796697"/>
    <x v="65"/>
    <n v="0.99134059402278374"/>
    <n v="0.12292552509601383"/>
    <n v="18"/>
    <n v="8.0175438596491233"/>
  </r>
  <r>
    <x v="1"/>
    <s v="SKU66"/>
    <n v="26.034869773962001"/>
    <n v="18328.548320869249"/>
    <n v="9960.8267028490991"/>
    <s v="Discount Applied"/>
    <n v="52"/>
    <n v="704"/>
    <n v="8367.7216180201503"/>
    <x v="1"/>
    <n v="13"/>
    <n v="17"/>
    <n v="19"/>
    <n v="8"/>
    <x v="1"/>
    <n v="2.2161427287713602"/>
    <x v="2"/>
    <x v="0"/>
    <n v="18"/>
    <n v="736"/>
    <n v="10"/>
    <n v="20.075003975630398"/>
    <s v="Pending"/>
    <n v="3.6328432903821302"/>
    <x v="3"/>
    <s v="Indo-Pacific Corridor"/>
    <n v="687.28617786641701"/>
    <x v="66"/>
    <n v="0.99733605541365089"/>
    <n v="2.727582061906304E-2"/>
    <n v="26"/>
    <n v="54.153846153846153"/>
  </r>
  <r>
    <x v="1"/>
    <s v="SKU67"/>
    <n v="87.755432354001002"/>
    <n v="45018.536797602515"/>
    <n v="35544.738765094182"/>
    <s v="Discount Applied"/>
    <n v="16"/>
    <n v="513"/>
    <n v="9473.7980325083299"/>
    <x v="2"/>
    <n v="12"/>
    <n v="9"/>
    <n v="71"/>
    <n v="9"/>
    <x v="2"/>
    <n v="9.1478115447106294"/>
    <x v="1"/>
    <x v="0"/>
    <n v="23"/>
    <n v="173"/>
    <n v="10"/>
    <n v="97.829050110173199"/>
    <s v="Pending"/>
    <n v="1.63107423007153"/>
    <x v="0"/>
    <s v="Trans-Eurasian Hub"/>
    <n v="547.24100516096803"/>
    <x v="67"/>
    <n v="0.98870813360303811"/>
    <n v="0.56548583878712833"/>
    <n v="32"/>
    <n v="42.75"/>
  </r>
  <r>
    <x v="0"/>
    <s v="SKU68"/>
    <n v="37.931812382790298"/>
    <n v="6182.8854183948188"/>
    <n v="2632.6669856138287"/>
    <s v="Discount Applied"/>
    <n v="29"/>
    <n v="163"/>
    <n v="3550.21843278099"/>
    <x v="0"/>
    <n v="0"/>
    <n v="8"/>
    <n v="58"/>
    <n v="8"/>
    <x v="0"/>
    <n v="1.19425186488499"/>
    <x v="4"/>
    <x v="1"/>
    <n v="13"/>
    <n v="751"/>
    <n v="14"/>
    <n v="21.048642725168602"/>
    <s v="Pass"/>
    <n v="1.87400140404437"/>
    <x v="3"/>
    <s v="Americas Gateway"/>
    <n v="320.84651575911101"/>
    <x v="68"/>
    <n v="0.99373478139128746"/>
    <n v="2.8027486984245807E-2"/>
    <n v="21"/>
    <e v="#DIV/0!"/>
  </r>
  <r>
    <x v="1"/>
    <s v="SKU69"/>
    <n v="54.865528517069698"/>
    <n v="28036.285072222618"/>
    <n v="26283.903984738499"/>
    <s v="Discount Applied"/>
    <n v="62"/>
    <n v="511"/>
    <n v="1752.3810874841199"/>
    <x v="0"/>
    <n v="95"/>
    <n v="1"/>
    <n v="27"/>
    <n v="3"/>
    <x v="0"/>
    <n v="9.7052867901203399"/>
    <x v="3"/>
    <x v="0"/>
    <n v="26"/>
    <n v="171"/>
    <n v="4"/>
    <n v="15.972229757181699"/>
    <s v="Pass"/>
    <n v="2.1193197367249201"/>
    <x v="2"/>
    <s v="Indo-Pacific Corridor"/>
    <n v="617.86691645837698"/>
    <x v="69"/>
    <n v="0.98534707049128967"/>
    <n v="9.3404852381179529E-2"/>
    <n v="29"/>
    <n v="5.3789473684210529"/>
  </r>
  <r>
    <x v="0"/>
    <s v="SKU70"/>
    <n v="47.914541824058702"/>
    <n v="1533.2653383698785"/>
    <n v="-5481.6226488335014"/>
    <s v="Premium Markup"/>
    <n v="90"/>
    <n v="32"/>
    <n v="7014.8879872033804"/>
    <x v="1"/>
    <n v="10"/>
    <n v="12"/>
    <n v="22"/>
    <n v="4"/>
    <x v="0"/>
    <n v="6.3157177546007199"/>
    <x v="1"/>
    <x v="0"/>
    <n v="2"/>
    <n v="375"/>
    <n v="18"/>
    <n v="97.113581563462205"/>
    <s v="Fail"/>
    <n v="1.9834678721741801"/>
    <x v="2"/>
    <s v="Indo-Pacific Corridor"/>
    <n v="299.70630311810299"/>
    <x v="70"/>
    <n v="0.98525574470943234"/>
    <n v="0.25896955083589923"/>
    <n v="6"/>
    <n v="3.2"/>
  </r>
  <r>
    <x v="2"/>
    <s v="SKU71"/>
    <n v="6.3815331627479601"/>
    <n v="4065.0366246704507"/>
    <n v="-4115.3004607549892"/>
    <s v="Premium Markup"/>
    <n v="14"/>
    <n v="637"/>
    <n v="8180.3370854254399"/>
    <x v="1"/>
    <n v="76"/>
    <n v="2"/>
    <n v="26"/>
    <n v="6"/>
    <x v="1"/>
    <n v="9.2281903170525101"/>
    <x v="4"/>
    <x v="1"/>
    <n v="6"/>
    <n v="955"/>
    <n v="26"/>
    <n v="4.4652784349432402"/>
    <s v="Pending"/>
    <n v="4.1378770486223502"/>
    <x v="0"/>
    <s v="Americas Gateway"/>
    <n v="589.97855562804"/>
    <x v="71"/>
    <n v="0.99832605079607373"/>
    <n v="4.6756842250714557E-3"/>
    <n v="12"/>
    <n v="8.3815789473684212"/>
  </r>
  <r>
    <x v="2"/>
    <s v="SKU72"/>
    <n v="90.204427520528"/>
    <n v="43117.716354812386"/>
    <n v="40484.594373500135"/>
    <s v="Discount Applied"/>
    <n v="88"/>
    <n v="478"/>
    <n v="2633.1219813122498"/>
    <x v="0"/>
    <n v="57"/>
    <n v="29"/>
    <n v="77"/>
    <n v="9"/>
    <x v="1"/>
    <n v="6.5996141596895397"/>
    <x v="1"/>
    <x v="4"/>
    <n v="27"/>
    <n v="918"/>
    <n v="5"/>
    <n v="30.323545256616502"/>
    <s v="Fail"/>
    <n v="4.5489196593963799"/>
    <x v="3"/>
    <s v="Trans-Eurasian Hub"/>
    <n v="323.01292795247798"/>
    <x v="72"/>
    <n v="0.98597742160129431"/>
    <n v="3.3032184375399239E-2"/>
    <n v="36"/>
    <n v="8.3859649122807021"/>
  </r>
  <r>
    <x v="2"/>
    <s v="SKU73"/>
    <n v="83.851017681304597"/>
    <n v="31444.131630489224"/>
    <n v="23533.244714348544"/>
    <s v="Discount Applied"/>
    <n v="41"/>
    <n v="375"/>
    <n v="7910.8869161406801"/>
    <x v="3"/>
    <n v="17"/>
    <n v="25"/>
    <n v="66"/>
    <n v="5"/>
    <x v="0"/>
    <n v="1.5129368369160701"/>
    <x v="3"/>
    <x v="3"/>
    <n v="3"/>
    <n v="563"/>
    <n v="3"/>
    <n v="32.321286213424003"/>
    <s v="Fail"/>
    <n v="2.1612537475559099"/>
    <x v="0"/>
    <s v="Trans-Eurasian Hub"/>
    <n v="402.96878907376998"/>
    <x v="73"/>
    <n v="0.99572308093782658"/>
    <n v="5.740903412686324E-2"/>
    <n v="8"/>
    <n v="22.058823529411764"/>
  </r>
  <r>
    <x v="0"/>
    <s v="SKU74"/>
    <n v="3.1700114135661499"/>
    <n v="2865.6903178637995"/>
    <n v="-2844.2549781054804"/>
    <s v="Premium Markup"/>
    <n v="64"/>
    <n v="904"/>
    <n v="5709.9452959692799"/>
    <x v="1"/>
    <n v="41"/>
    <n v="6"/>
    <n v="1"/>
    <n v="5"/>
    <x v="1"/>
    <n v="5.2376546500374399"/>
    <x v="3"/>
    <x v="0"/>
    <n v="10"/>
    <n v="104"/>
    <n v="17"/>
    <n v="56.766475557431797"/>
    <s v="Fail"/>
    <n v="2.7791935115711599"/>
    <x v="0"/>
    <s v="Indo-Pacific Corridor"/>
    <n v="235.461236735537"/>
    <x v="74"/>
    <n v="0.98914102903030632"/>
    <n v="0.54583149574453649"/>
    <n v="15"/>
    <n v="22.048780487804876"/>
  </r>
  <r>
    <x v="1"/>
    <s v="SKU75"/>
    <n v="92.996884233970604"/>
    <n v="9857.6697288008836"/>
    <n v="7968.5961390215534"/>
    <s v="Discount Applied"/>
    <n v="29"/>
    <n v="106"/>
    <n v="1889.07358977933"/>
    <x v="0"/>
    <n v="16"/>
    <n v="20"/>
    <n v="56"/>
    <n v="10"/>
    <x v="2"/>
    <n v="2.47389776104546"/>
    <x v="1"/>
    <x v="3"/>
    <n v="27"/>
    <n v="806"/>
    <n v="30"/>
    <n v="51.634893400109299"/>
    <s v="Pending"/>
    <n v="0.96539470535239302"/>
    <x v="0"/>
    <s v="Americas Gateway"/>
    <n v="880.08098824716103"/>
    <x v="75"/>
    <n v="0.97135697018162459"/>
    <n v="6.4063143176314272E-2"/>
    <n v="37"/>
    <n v="6.625"/>
  </r>
  <r>
    <x v="0"/>
    <s v="SKU76"/>
    <n v="69.108799547430294"/>
    <n v="16655.220690930702"/>
    <n v="11326.844706632954"/>
    <s v="Discount Applied"/>
    <n v="23"/>
    <n v="241"/>
    <n v="5328.3759842977497"/>
    <x v="3"/>
    <n v="38"/>
    <n v="1"/>
    <n v="22"/>
    <n v="10"/>
    <x v="1"/>
    <n v="7.0545383368369201"/>
    <x v="4"/>
    <x v="1"/>
    <n v="25"/>
    <n v="291"/>
    <n v="4"/>
    <n v="10.5282450700421"/>
    <s v="Fail"/>
    <n v="2.8646678378833701"/>
    <x v="3"/>
    <s v="Trans-Eurasian Hub"/>
    <n v="762.45918215568304"/>
    <x v="76"/>
    <n v="0.99670016090105251"/>
    <n v="3.6179536323168726E-2"/>
    <n v="35"/>
    <n v="6.3421052631578947"/>
  </r>
  <r>
    <x v="0"/>
    <s v="SKU77"/>
    <n v="57.449742958971399"/>
    <n v="20624.457722270734"/>
    <n v="18140.697544727944"/>
    <s v="Discount Applied"/>
    <n v="14"/>
    <n v="359"/>
    <n v="2483.7601775427902"/>
    <x v="2"/>
    <n v="96"/>
    <n v="28"/>
    <n v="57"/>
    <n v="4"/>
    <x v="0"/>
    <n v="6.7809466256178901"/>
    <x v="1"/>
    <x v="4"/>
    <n v="5"/>
    <n v="414"/>
    <n v="3"/>
    <n v="92.065160598712794"/>
    <s v="Fail"/>
    <n v="3.1455795228330001"/>
    <x v="1"/>
    <s v="Indo-Pacific Corridor"/>
    <n v="923.44063171192204"/>
    <x v="77"/>
    <n v="0.96020303887707859"/>
    <n v="0.22237961497273623"/>
    <n v="9"/>
    <n v="3.7395833333333335"/>
  </r>
  <r>
    <x v="0"/>
    <s v="SKU78"/>
    <n v="6.30688317611191"/>
    <n v="5966.3114846018671"/>
    <n v="4673.8530666641173"/>
    <s v="Discount Applied"/>
    <n v="50"/>
    <n v="946"/>
    <n v="1292.45841793775"/>
    <x v="2"/>
    <n v="5"/>
    <n v="4"/>
    <n v="51"/>
    <n v="5"/>
    <x v="0"/>
    <n v="8.4670497708619905"/>
    <x v="2"/>
    <x v="2"/>
    <n v="7"/>
    <n v="453"/>
    <n v="16"/>
    <n v="47.679680368355299"/>
    <s v="Fail"/>
    <n v="0.102020754918176"/>
    <x v="1"/>
    <s v="Americas Gateway"/>
    <n v="670.93439079241"/>
    <x v="78"/>
    <n v="0.95655819223274896"/>
    <n v="0.10525315754603819"/>
    <n v="12"/>
    <n v="189.2"/>
  </r>
  <r>
    <x v="0"/>
    <s v="SKU79"/>
    <n v="57.057031221103202"/>
    <n v="11297.292181778434"/>
    <n v="3408.5689133513533"/>
    <s v="Discount Applied"/>
    <n v="56"/>
    <n v="198"/>
    <n v="7888.7232684270803"/>
    <x v="0"/>
    <n v="31"/>
    <n v="25"/>
    <n v="20"/>
    <n v="1"/>
    <x v="0"/>
    <n v="6.49632536429504"/>
    <x v="0"/>
    <x v="0"/>
    <n v="21"/>
    <n v="152"/>
    <n v="11"/>
    <n v="55.760492895244198"/>
    <s v="Pending"/>
    <n v="3.2133296074383"/>
    <x v="2"/>
    <s v="Trans-Eurasian Hub"/>
    <n v="677.94456984618296"/>
    <x v="79"/>
    <n v="0.99210812496000345"/>
    <n v="0.3668453479950276"/>
    <n v="22"/>
    <n v="6.387096774193548"/>
  </r>
  <r>
    <x v="1"/>
    <s v="SKU80"/>
    <n v="91.128318350444303"/>
    <n v="79463.893601587435"/>
    <n v="70812.220918605381"/>
    <s v="Discount Applied"/>
    <n v="75"/>
    <n v="872"/>
    <n v="8651.67268298206"/>
    <x v="2"/>
    <n v="39"/>
    <n v="14"/>
    <n v="41"/>
    <n v="2"/>
    <x v="2"/>
    <n v="2.8331846794189701"/>
    <x v="0"/>
    <x v="2"/>
    <n v="18"/>
    <n v="870"/>
    <n v="23"/>
    <n v="77.322353211051606"/>
    <s v="Pending"/>
    <n v="3.6486105925361998"/>
    <x v="0"/>
    <s v="Trans-Eurasian Hub"/>
    <n v="380.43593711196399"/>
    <x v="80"/>
    <n v="0.99073525538614782"/>
    <n v="8.8876268058680014E-2"/>
    <n v="20"/>
    <n v="22.358974358974358"/>
  </r>
  <r>
    <x v="0"/>
    <s v="SKU81"/>
    <n v="72.819206930318202"/>
    <n v="56362.066164066287"/>
    <n v="51977.652764020429"/>
    <s v="Discount Applied"/>
    <n v="9"/>
    <n v="774"/>
    <n v="4384.4134000458598"/>
    <x v="2"/>
    <n v="48"/>
    <n v="6"/>
    <n v="8"/>
    <n v="5"/>
    <x v="0"/>
    <n v="4.0662775015120403"/>
    <x v="0"/>
    <x v="2"/>
    <n v="20"/>
    <n v="694"/>
    <n v="16"/>
    <n v="82.373320587990193"/>
    <s v="Fail"/>
    <n v="3.64645086541702"/>
    <x v="0"/>
    <s v="Americas Gateway"/>
    <n v="477.30763109090299"/>
    <x v="81"/>
    <n v="0.98028479748542907"/>
    <n v="0.11869354551583601"/>
    <n v="25"/>
    <n v="16.125"/>
  </r>
  <r>
    <x v="1"/>
    <s v="SKU82"/>
    <n v="17.034930739467899"/>
    <n v="5723.7367284612146"/>
    <n v="2780.3548608517644"/>
    <s v="Discount Applied"/>
    <n v="13"/>
    <n v="336"/>
    <n v="2943.3818676094502"/>
    <x v="2"/>
    <n v="42"/>
    <n v="19"/>
    <n v="72"/>
    <n v="1"/>
    <x v="1"/>
    <n v="4.7081818735419301"/>
    <x v="4"/>
    <x v="3"/>
    <n v="26"/>
    <n v="334"/>
    <n v="5"/>
    <n v="42.952444748991802"/>
    <s v="Pass"/>
    <n v="3.0551418183075398"/>
    <x v="0"/>
    <s v="Trans-Eurasian Hub"/>
    <n v="852.56809891984994"/>
    <x v="82"/>
    <n v="0.9838075286299014"/>
    <n v="0.12860013397901737"/>
    <n v="27"/>
    <n v="8"/>
  </r>
  <r>
    <x v="0"/>
    <s v="SKU83"/>
    <n v="68.911246211606297"/>
    <n v="45688.156238294978"/>
    <n v="43276.401606184489"/>
    <s v="Discount Applied"/>
    <n v="82"/>
    <n v="663"/>
    <n v="2411.7546321104901"/>
    <x v="2"/>
    <n v="65"/>
    <n v="24"/>
    <n v="7"/>
    <n v="8"/>
    <x v="0"/>
    <n v="4.94983957799694"/>
    <x v="1"/>
    <x v="3"/>
    <n v="24"/>
    <n v="867"/>
    <n v="15"/>
    <n v="34.343277465075303"/>
    <s v="Pending"/>
    <n v="2.61028808484811"/>
    <x v="3"/>
    <s v="Indo-Pacific Corridor"/>
    <n v="183.932968043594"/>
    <x v="83"/>
    <n v="0.98370766390580655"/>
    <n v="3.9611623373789276E-2"/>
    <n v="32"/>
    <n v="10.199999999999999"/>
  </r>
  <r>
    <x v="0"/>
    <s v="SKU84"/>
    <n v="89.104367292102197"/>
    <n v="55066.49898651916"/>
    <n v="53018.208886670451"/>
    <s v="Discount Applied"/>
    <n v="99"/>
    <n v="618"/>
    <n v="2048.2900998487098"/>
    <x v="2"/>
    <n v="73"/>
    <n v="26"/>
    <n v="80"/>
    <n v="10"/>
    <x v="1"/>
    <n v="8.3816156249226292"/>
    <x v="2"/>
    <x v="3"/>
    <n v="22"/>
    <n v="780"/>
    <n v="28"/>
    <n v="50.120839612977299"/>
    <s v="Fail"/>
    <n v="2.5912754732111098"/>
    <x v="2"/>
    <s v="Americas Gateway"/>
    <n v="205.57199582694699"/>
    <x v="84"/>
    <n v="0.97143839378893593"/>
    <n v="6.4257486683304235E-2"/>
    <n v="32"/>
    <n v="8.4657534246575334"/>
  </r>
  <r>
    <x v="2"/>
    <s v="SKU85"/>
    <n v="76.962994415193805"/>
    <n v="1924.0748603798452"/>
    <n v="-6760.5381988740046"/>
    <s v="Premium Markup"/>
    <n v="83"/>
    <n v="25"/>
    <n v="8684.6130592538502"/>
    <x v="1"/>
    <n v="15"/>
    <n v="18"/>
    <n v="66"/>
    <n v="2"/>
    <x v="2"/>
    <n v="8.2491687048717193"/>
    <x v="2"/>
    <x v="0"/>
    <n v="20"/>
    <n v="443"/>
    <n v="5"/>
    <n v="97.730593800533001"/>
    <s v="Fail"/>
    <n v="0.77300613406724705"/>
    <x v="0"/>
    <s v="Indo-Pacific Corridor"/>
    <n v="682.97101822609295"/>
    <x v="85"/>
    <n v="0.98779683541657859"/>
    <n v="0.22061082122016479"/>
    <n v="22"/>
    <n v="1.6666666666666667"/>
  </r>
  <r>
    <x v="1"/>
    <s v="SKU86"/>
    <n v="19.9981769404042"/>
    <n v="4459.5934577101361"/>
    <n v="3230.0024291451564"/>
    <s v="Discount Applied"/>
    <n v="18"/>
    <n v="223"/>
    <n v="1229.59102856498"/>
    <x v="2"/>
    <n v="32"/>
    <n v="14"/>
    <n v="22"/>
    <n v="6"/>
    <x v="0"/>
    <n v="1.4543053101535499"/>
    <x v="1"/>
    <x v="3"/>
    <n v="18"/>
    <n v="830"/>
    <n v="5"/>
    <n v="96.527352785310896"/>
    <s v="Pass"/>
    <n v="1.72731392835594"/>
    <x v="0"/>
    <s v="Trans-Eurasian Hub"/>
    <n v="806.10317770292295"/>
    <x v="86"/>
    <n v="0.92031361987911064"/>
    <n v="0.11629801540398903"/>
    <n v="24"/>
    <n v="6.96875"/>
  </r>
  <r>
    <x v="0"/>
    <s v="SKU87"/>
    <n v="80.414036650355698"/>
    <n v="6352.7088953781004"/>
    <n v="1218.8621942914106"/>
    <s v="Discount Applied"/>
    <n v="24"/>
    <n v="79"/>
    <n v="5133.8467010866898"/>
    <x v="3"/>
    <n v="5"/>
    <n v="7"/>
    <n v="55"/>
    <n v="10"/>
    <x v="1"/>
    <n v="6.5758037975485299"/>
    <x v="0"/>
    <x v="3"/>
    <n v="19"/>
    <n v="934"/>
    <n v="23"/>
    <n v="78.280383118415301"/>
    <s v="Pending"/>
    <n v="3.79723121711418"/>
    <x v="0"/>
    <s v="Trans-Eurasian Hub"/>
    <n v="458.53594573920901"/>
    <x v="87"/>
    <n v="0.98347122696554179"/>
    <n v="8.3811973360187683E-2"/>
    <n v="29"/>
    <n v="15.8"/>
  </r>
  <r>
    <x v="2"/>
    <s v="SKU88"/>
    <n v="75.270406975724995"/>
    <n v="55474.289941109324"/>
    <n v="46029.547908046341"/>
    <s v="Discount Applied"/>
    <n v="58"/>
    <n v="737"/>
    <n v="9444.7420330629793"/>
    <x v="3"/>
    <n v="60"/>
    <n v="18"/>
    <n v="85"/>
    <n v="7"/>
    <x v="1"/>
    <n v="3.8012531329310701"/>
    <x v="4"/>
    <x v="1"/>
    <n v="4"/>
    <n v="671"/>
    <n v="29"/>
    <n v="62.612690395614301"/>
    <s v="Pass"/>
    <n v="0.33343182522473902"/>
    <x v="2"/>
    <s v="Trans-Eurasian Hub"/>
    <n v="230.092782536762"/>
    <x v="88"/>
    <n v="0.99296815696013174"/>
    <n v="9.3312504315371539E-2"/>
    <n v="11"/>
    <n v="12.283333333333333"/>
  </r>
  <r>
    <x v="2"/>
    <s v="SKU89"/>
    <n v="97.760085581938597"/>
    <n v="13099.851467979772"/>
    <n v="7175.1689011265416"/>
    <s v="Discount Applied"/>
    <n v="10"/>
    <n v="134"/>
    <n v="5924.6825668532301"/>
    <x v="2"/>
    <n v="90"/>
    <n v="1"/>
    <n v="27"/>
    <n v="8"/>
    <x v="0"/>
    <n v="9.9298162452772498"/>
    <x v="1"/>
    <x v="2"/>
    <n v="24"/>
    <n v="589"/>
    <n v="22"/>
    <n v="33.808636513209002"/>
    <s v="Pass"/>
    <n v="4.8434565771180402"/>
    <x v="1"/>
    <s v="Trans-Eurasian Hub"/>
    <n v="465.45700596368698"/>
    <x v="89"/>
    <n v="0.99261758714244208"/>
    <n v="5.7400061991865876E-2"/>
    <n v="32"/>
    <n v="1.4888888888888889"/>
  </r>
  <r>
    <x v="1"/>
    <s v="SKU90"/>
    <n v="13.881913501359101"/>
    <n v="4442.2123204349118"/>
    <n v="-5150.4212498453981"/>
    <s v="Premium Markup"/>
    <n v="56"/>
    <n v="320"/>
    <n v="9592.6335702803099"/>
    <x v="0"/>
    <n v="66"/>
    <n v="18"/>
    <n v="96"/>
    <n v="7"/>
    <x v="0"/>
    <n v="7.6744307081126903"/>
    <x v="0"/>
    <x v="4"/>
    <n v="18"/>
    <n v="396"/>
    <n v="7"/>
    <n v="65.047415094691402"/>
    <s v="Fail"/>
    <n v="1.7303747198591899"/>
    <x v="0"/>
    <s v="Trans-Eurasian Hub"/>
    <n v="110.364335231364"/>
    <x v="90"/>
    <n v="0.9924189905441495"/>
    <n v="0.16426114922901869"/>
    <n v="25"/>
    <n v="4.8484848484848486"/>
  </r>
  <r>
    <x v="2"/>
    <s v="SKU91"/>
    <n v="62.111965463961702"/>
    <n v="56894.560364988916"/>
    <n v="54959.353571481326"/>
    <s v="Discount Applied"/>
    <n v="90"/>
    <n v="916"/>
    <n v="1935.20679350759"/>
    <x v="3"/>
    <n v="98"/>
    <n v="22"/>
    <n v="85"/>
    <n v="7"/>
    <x v="0"/>
    <n v="7.4715140844011403"/>
    <x v="3"/>
    <x v="3"/>
    <n v="30"/>
    <n v="791"/>
    <n v="6"/>
    <n v="9.0058074287816403"/>
    <s v="Fail"/>
    <n v="1.4519722039968099"/>
    <x v="1"/>
    <s v="Trans-Eurasian Hub"/>
    <n v="653.67299455203295"/>
    <x v="91"/>
    <n v="0.99148549831032928"/>
    <n v="1.1385344410596259E-2"/>
    <n v="37"/>
    <n v="9.3469387755102034"/>
  </r>
  <r>
    <x v="2"/>
    <s v="SKU92"/>
    <n v="47.714233075820196"/>
    <n v="13169.128328926374"/>
    <n v="11068.998574300444"/>
    <s v="Discount Applied"/>
    <n v="44"/>
    <n v="276"/>
    <n v="2100.1297546259302"/>
    <x v="3"/>
    <n v="90"/>
    <n v="25"/>
    <n v="10"/>
    <n v="8"/>
    <x v="0"/>
    <n v="4.4695000261236002"/>
    <x v="4"/>
    <x v="4"/>
    <n v="5"/>
    <n v="207"/>
    <n v="28"/>
    <n v="39.772882502339897"/>
    <s v="Pending"/>
    <n v="0.62600185820939402"/>
    <x v="2"/>
    <s v="Trans-Eurasian Hub"/>
    <n v="996.77831495062298"/>
    <x v="92"/>
    <n v="0.97893350045109762"/>
    <n v="0.19213952899681111"/>
    <n v="13"/>
    <n v="3.0666666666666669"/>
  </r>
  <r>
    <x v="0"/>
    <s v="SKU93"/>
    <n v="69.290831002905406"/>
    <n v="7899.1547343312159"/>
    <n v="3367.7526006393155"/>
    <s v="Discount Applied"/>
    <n v="88"/>
    <n v="114"/>
    <n v="4531.4021336919004"/>
    <x v="2"/>
    <n v="63"/>
    <n v="17"/>
    <n v="66"/>
    <n v="1"/>
    <x v="2"/>
    <n v="7.00643205900439"/>
    <x v="3"/>
    <x v="2"/>
    <n v="25"/>
    <n v="759"/>
    <n v="11"/>
    <n v="48.064782640006499"/>
    <s v="Pass"/>
    <n v="2.0300690886687498"/>
    <x v="1"/>
    <s v="Americas Gateway"/>
    <n v="873.12964801765099"/>
    <x v="93"/>
    <n v="0.98784676065504207"/>
    <n v="6.3326459341247032E-2"/>
    <n v="26"/>
    <n v="1.8095238095238095"/>
  </r>
  <r>
    <x v="2"/>
    <s v="SKU94"/>
    <n v="3.0376887246314102"/>
    <n v="2998.1987712112018"/>
    <n v="-4890.1577754506689"/>
    <s v="Premium Markup"/>
    <n v="97"/>
    <n v="987"/>
    <n v="7888.3565466618702"/>
    <x v="2"/>
    <n v="77"/>
    <n v="26"/>
    <n v="72"/>
    <n v="9"/>
    <x v="0"/>
    <n v="6.9429459420325799"/>
    <x v="4"/>
    <x v="0"/>
    <n v="26"/>
    <n v="179"/>
    <n v="7"/>
    <n v="96.422820639571796"/>
    <s v="Fail"/>
    <n v="4.9392552886209398"/>
    <x v="0"/>
    <s v="Indo-Pacific Corridor"/>
    <n v="635.65712050199102"/>
    <x v="94"/>
    <n v="0.98689641296381991"/>
    <n v="0.53867497564006595"/>
    <n v="35"/>
    <n v="12.818181818181818"/>
  </r>
  <r>
    <x v="0"/>
    <s v="SKU95"/>
    <n v="77.903927219447695"/>
    <n v="52351.439091468848"/>
    <n v="44965.07514742019"/>
    <s v="Discount Applied"/>
    <n v="65"/>
    <n v="672"/>
    <n v="7386.3639440486604"/>
    <x v="2"/>
    <n v="15"/>
    <n v="14"/>
    <n v="26"/>
    <n v="9"/>
    <x v="0"/>
    <n v="8.6303388696027508"/>
    <x v="3"/>
    <x v="3"/>
    <n v="9"/>
    <n v="862"/>
    <n v="7"/>
    <n v="77.627765812748095"/>
    <s v="Pending"/>
    <n v="1.3623879886490999"/>
    <x v="1"/>
    <s v="Indo-Pacific Corridor"/>
    <n v="207.66320620857499"/>
    <x v="95"/>
    <n v="0.98832198016023154"/>
    <n v="9.0055412775809848E-2"/>
    <n v="18"/>
    <n v="44.8"/>
  </r>
  <r>
    <x v="2"/>
    <s v="SKU96"/>
    <n v="24.423131420373299"/>
    <n v="7913.0945802009492"/>
    <n v="214.66981456883877"/>
    <s v="Discount Applied"/>
    <n v="29"/>
    <n v="324"/>
    <n v="7698.4247656321104"/>
    <x v="0"/>
    <n v="67"/>
    <n v="2"/>
    <n v="32"/>
    <n v="3"/>
    <x v="2"/>
    <n v="5.3528780439967996"/>
    <x v="0"/>
    <x v="4"/>
    <n v="21"/>
    <n v="588"/>
    <n v="25"/>
    <n v="67.779622987078099"/>
    <s v="Pending"/>
    <n v="2.5111748302126999"/>
    <x v="2"/>
    <s v="Indo-Pacific Corridor"/>
    <n v="482.19123860252802"/>
    <x v="96"/>
    <n v="0.99050032918973785"/>
    <n v="0.11527146766509881"/>
    <n v="24"/>
    <n v="4.8358208955223878"/>
  </r>
  <r>
    <x v="0"/>
    <s v="SKU97"/>
    <n v="3.5261112591434101"/>
    <n v="218.61889806689143"/>
    <n v="-4152.2976819176383"/>
    <s v="Premium Markup"/>
    <n v="56"/>
    <n v="62"/>
    <n v="4370.9165799845296"/>
    <x v="3"/>
    <n v="46"/>
    <n v="19"/>
    <n v="4"/>
    <n v="9"/>
    <x v="1"/>
    <n v="7.9048456112096703"/>
    <x v="3"/>
    <x v="1"/>
    <n v="25"/>
    <n v="858"/>
    <n v="21"/>
    <n v="71.126514720403307"/>
    <s v="Pending"/>
    <n v="4.0968813324704501"/>
    <x v="3"/>
    <s v="Americas Gateway"/>
    <n v="323.59220343132199"/>
    <x v="97"/>
    <n v="0.98191881293422156"/>
    <n v="8.2898035804665857E-2"/>
    <n v="34"/>
    <n v="1.3478260869565217"/>
  </r>
  <r>
    <x v="1"/>
    <s v="SKU98"/>
    <n v="19.754604866878601"/>
    <n v="18035.954243460164"/>
    <n v="9510.0016837766452"/>
    <s v="Discount Applied"/>
    <n v="43"/>
    <n v="913"/>
    <n v="8525.9525596835192"/>
    <x v="1"/>
    <n v="53"/>
    <n v="1"/>
    <n v="27"/>
    <n v="7"/>
    <x v="0"/>
    <n v="1.4098010951380699"/>
    <x v="2"/>
    <x v="1"/>
    <n v="4"/>
    <n v="569"/>
    <n v="18"/>
    <n v="74.608969995194599"/>
    <s v="Pass"/>
    <n v="2.0515129307662399"/>
    <x v="2"/>
    <s v="Indo-Pacific Corridor"/>
    <n v="264.25488983586598"/>
    <x v="98"/>
    <n v="0.99108383836783231"/>
    <n v="0.13112297011457749"/>
    <n v="11"/>
    <n v="17.226415094339622"/>
  </r>
  <r>
    <x v="0"/>
    <s v="SKU99"/>
    <n v="68.517832699276596"/>
    <n v="42960.681102446426"/>
    <n v="33775.495273264722"/>
    <s v="Discount Applied"/>
    <n v="17"/>
    <n v="627"/>
    <n v="9185.1858291817007"/>
    <x v="2"/>
    <n v="55"/>
    <n v="8"/>
    <n v="59"/>
    <n v="6"/>
    <x v="0"/>
    <n v="1.3110237561206199"/>
    <x v="4"/>
    <x v="3"/>
    <n v="11"/>
    <n v="176"/>
    <n v="4"/>
    <n v="1.90076224351945"/>
    <s v="Fail"/>
    <n v="0.44719401546382298"/>
    <x v="1"/>
    <s v="Indo-Pacific Corridor"/>
    <n v="312.57427361009297"/>
    <x v="99"/>
    <n v="0.99965032977455548"/>
    <n v="1.079978547454233E-2"/>
    <n v="17"/>
    <n v="11.4"/>
  </r>
</pivotCacheRecords>
</file>

<file path=xl/pivotCache/pivotCacheRecords2.xml><?xml version="1.0" encoding="utf-8"?>
<pivotCacheRecords xmlns="http://schemas.openxmlformats.org/spreadsheetml/2006/main" xmlns:r="http://schemas.openxmlformats.org/officeDocument/2006/relationships" count="100">
  <r>
    <x v="0"/>
    <s v="SKU0"/>
    <n v="69.808005542115694"/>
    <n v="55986.02044477679"/>
    <n v="47324.023652384407"/>
    <s v="Discount Applied"/>
    <n v="55"/>
    <n v="802"/>
    <n v="8661.9967923923796"/>
    <s v="Non-binary"/>
    <n v="58"/>
    <n v="7"/>
    <n v="96"/>
    <n v="4"/>
    <s v="TransOceanic"/>
    <n v="2.9565721394308002"/>
    <x v="0"/>
    <x v="0"/>
    <n v="18"/>
    <n v="673"/>
    <n v="28"/>
    <n v="14.190328344569901"/>
    <s v="Pending"/>
    <n v="1421.906840011007"/>
    <n v="1.77295117208355"/>
    <s v="Road"/>
    <s v="Indo-Pacific Corridor"/>
    <n v="694.98231757944495"/>
    <n v="7967.0144748129351"/>
    <n v="0.91976650023816331"/>
    <n v="2.1085183275735365E-2"/>
    <n v="22"/>
    <n v="13.827586206896552"/>
    <n v="3474.9115878972248"/>
    <n v="5187.0852044951553"/>
    <n v="0.5988325011908161"/>
  </r>
  <r>
    <x v="1"/>
    <s v="SKU1"/>
    <n v="14.8435232750843"/>
    <n v="10924.833130462044"/>
    <n v="3463.9330650162046"/>
    <s v="Discount Applied"/>
    <n v="95"/>
    <n v="736"/>
    <n v="7460.9000654458396"/>
    <s v="Female"/>
    <n v="53"/>
    <n v="30"/>
    <n v="37"/>
    <n v="2"/>
    <s v="GlobalLogix"/>
    <n v="9.7165747714313095"/>
    <x v="0"/>
    <x v="1"/>
    <n v="10"/>
    <n v="841"/>
    <n v="12"/>
    <n v="5.9306936455283097"/>
    <s v="Pending"/>
    <n v="451.40859778507718"/>
    <n v="0.613326899164507"/>
    <s v="Air"/>
    <s v="Trans-Eurasian Hub"/>
    <n v="339.67286994860598"/>
    <n v="7121.2271954972339"/>
    <n v="0.9544729366471808"/>
    <n v="7.051954394207265E-3"/>
    <n v="12"/>
    <n v="13.886792452830189"/>
    <n v="1698.3643497430298"/>
    <n v="5762.5357157028102"/>
    <n v="0.7723646832359039"/>
  </r>
  <r>
    <x v="0"/>
    <s v="SKU2"/>
    <n v="11.319683293090501"/>
    <n v="90.557466344724006"/>
    <n v="-9487.1921595240055"/>
    <s v="Premium Markup"/>
    <n v="34"/>
    <n v="8"/>
    <n v="9577.7496258687297"/>
    <s v="Unknown"/>
    <n v="1"/>
    <n v="10"/>
    <n v="88"/>
    <n v="2"/>
    <s v="TransOceanic"/>
    <n v="8.0544792617321495"/>
    <x v="1"/>
    <x v="2"/>
    <n v="24"/>
    <n v="461"/>
    <n v="8"/>
    <n v="60.251145661598002"/>
    <s v="Pending"/>
    <n v="23.912000053240561"/>
    <n v="2.9890000066550702"/>
    <s v="Rail"/>
    <s v="Americas Gateway"/>
    <n v="609.379206618426"/>
    <n v="8968.3704192503028"/>
    <n v="0.93637553387566708"/>
    <n v="0.13069662833318438"/>
    <n v="26"/>
    <n v="8"/>
    <n v="3046.89603309213"/>
    <n v="6530.8535927765997"/>
    <n v="0.68187766937833605"/>
  </r>
  <r>
    <x v="1"/>
    <s v="SKU3"/>
    <n v="61.1633430164377"/>
    <n v="5076.5574703643288"/>
    <n v="-2690.2789553209013"/>
    <s v="Premium Markup"/>
    <n v="68"/>
    <n v="83"/>
    <n v="7766.8364256852301"/>
    <s v="Non-binary"/>
    <n v="23"/>
    <n v="13"/>
    <n v="59"/>
    <n v="6"/>
    <s v="SwiftParcel"/>
    <n v="1.7295685635434199"/>
    <x v="2"/>
    <x v="1"/>
    <n v="12"/>
    <n v="971"/>
    <n v="27"/>
    <n v="30.6880193482842"/>
    <s v="Pending"/>
    <n v="380.18918739353529"/>
    <n v="4.5805926191992201"/>
    <s v="Air"/>
    <s v="Americas Gateway"/>
    <n v="141.920281771519"/>
    <n v="7624.9161439137115"/>
    <n v="0.98172740173821826"/>
    <n v="3.160455133705891E-2"/>
    <n v="18"/>
    <n v="3.6086956521739131"/>
    <n v="709.60140885759506"/>
    <n v="7057.2350168276353"/>
    <n v="0.90863700869109132"/>
  </r>
  <r>
    <x v="1"/>
    <s v="SKU4"/>
    <n v="4.8054960363458896"/>
    <n v="4185.58704765727"/>
    <n v="1499.08189608983"/>
    <s v="Discount Applied"/>
    <n v="26"/>
    <n v="871"/>
    <n v="2686.50515156744"/>
    <s v="Non-binary"/>
    <n v="5"/>
    <n v="3"/>
    <n v="56"/>
    <n v="8"/>
    <s v="GlobalLogix"/>
    <n v="3.8905479158706702"/>
    <x v="1"/>
    <x v="3"/>
    <n v="30"/>
    <n v="737"/>
    <n v="7"/>
    <n v="29.6924671537497"/>
    <s v="Pass"/>
    <n v="1694.9974599853017"/>
    <n v="1.94603611938611"/>
    <s v="Road"/>
    <s v="Indo-Pacific Corridor"/>
    <n v="761.17390951487698"/>
    <n v="1925.3312420525631"/>
    <n v="0.71666761589093908"/>
    <n v="4.0288286504409361E-2"/>
    <n v="38"/>
    <n v="174.2"/>
    <n v="3805.8695475743848"/>
    <n v="-1119.3643960069448"/>
    <n v="-0.41666192054530488"/>
  </r>
  <r>
    <x v="0"/>
    <s v="SKU5"/>
    <n v="1.6999760138659299"/>
    <n v="249.8964740382917"/>
    <n v="-2578.4522719374581"/>
    <s v="Premium Markup"/>
    <n v="87"/>
    <n v="147"/>
    <n v="2828.3487459757498"/>
    <s v="Non-binary"/>
    <n v="90"/>
    <n v="27"/>
    <n v="66"/>
    <n v="3"/>
    <s v="TransOceanic"/>
    <n v="4.4440988643822896"/>
    <x v="3"/>
    <x v="0"/>
    <n v="8"/>
    <n v="585"/>
    <n v="8"/>
    <n v="85.675963335797903"/>
    <s v="Pass"/>
    <n v="179.24918698700287"/>
    <n v="1.2193822244013801"/>
    <s v="Rail"/>
    <s v="Trans-Eurasian Hub"/>
    <n v="990.07847250581096"/>
    <n v="1838.2702734699387"/>
    <n v="0.64994469868168792"/>
    <n v="0.14645463818085111"/>
    <n v="11"/>
    <n v="1.6333333333333333"/>
    <n v="4950.3923625290545"/>
    <n v="-2122.0436165533047"/>
    <n v="-0.75027650659155987"/>
  </r>
  <r>
    <x v="1"/>
    <s v="SKU6"/>
    <n v="4.0783328631079403"/>
    <n v="265.09163610201614"/>
    <n v="-7558.384923429714"/>
    <s v="Premium Markup"/>
    <n v="48"/>
    <n v="65"/>
    <n v="7823.4765595317303"/>
    <s v="Male"/>
    <n v="11"/>
    <n v="15"/>
    <n v="58"/>
    <n v="8"/>
    <s v="SwiftParcel"/>
    <n v="3.8807633029519999"/>
    <x v="0"/>
    <x v="1"/>
    <n v="10"/>
    <n v="198"/>
    <n v="11"/>
    <n v="7.0578761469782298"/>
    <s v="Pass"/>
    <n v="8.5771038802679094"/>
    <n v="0.131955444311814"/>
    <s v="Sea"/>
    <s v="Americas Gateway"/>
    <n v="169.27180138478599"/>
    <n v="7654.2047581469442"/>
    <n v="0.97836360854452187"/>
    <n v="3.5645839126152677E-2"/>
    <n v="18"/>
    <n v="5.9090909090909092"/>
    <n v="846.35900692392988"/>
    <n v="6977.1175526078005"/>
    <n v="0.89181804272260923"/>
  </r>
  <r>
    <x v="2"/>
    <s v="SKU7"/>
    <n v="42.958384382459997"/>
    <n v="18300.27174692796"/>
    <n v="9804.1679338381291"/>
    <s v="Discount Applied"/>
    <n v="59"/>
    <n v="426"/>
    <n v="8496.1038130898305"/>
    <s v="Female"/>
    <n v="93"/>
    <n v="17"/>
    <n v="11"/>
    <n v="1"/>
    <s v="TransOceanic"/>
    <n v="2.3483387844177801"/>
    <x v="3"/>
    <x v="1"/>
    <n v="10"/>
    <n v="727"/>
    <n v="27"/>
    <n v="9.1668491485971497"/>
    <s v="Pending"/>
    <n v="904.17290975526737"/>
    <n v="2.1224716191438202"/>
    <s v="Air"/>
    <s v="Americas Gateway"/>
    <n v="602.89849883838303"/>
    <n v="7893.2053142514478"/>
    <n v="0.92903823774969585"/>
    <n v="1.2609146009074484E-2"/>
    <n v="11"/>
    <n v="4.580645161290323"/>
    <n v="3014.4924941919153"/>
    <n v="5481.6113188979152"/>
    <n v="0.64519118874847925"/>
  </r>
  <r>
    <x v="2"/>
    <s v="SKU8"/>
    <n v="68.717596748527299"/>
    <n v="10307.639512279095"/>
    <n v="2790.2763016479748"/>
    <s v="Discount Applied"/>
    <n v="78"/>
    <n v="150"/>
    <n v="7517.3632106311197"/>
    <s v="Female"/>
    <n v="5"/>
    <n v="10"/>
    <n v="15"/>
    <n v="7"/>
    <s v="SwiftParcel"/>
    <n v="3.4047338570830199"/>
    <x v="3"/>
    <x v="1"/>
    <n v="21"/>
    <n v="953"/>
    <n v="11"/>
    <n v="68.1849190570411"/>
    <s v="Pending"/>
    <n v="108.33066028243965"/>
    <n v="0.722204401882931"/>
    <s v="Sea"/>
    <s v="Indo-Pacific Corridor"/>
    <n v="103.916247960704"/>
    <n v="7413.4469626704158"/>
    <n v="0.98617650297730131"/>
    <n v="7.1547659031522659E-2"/>
    <n v="28"/>
    <n v="30"/>
    <n v="519.58123980352002"/>
    <n v="6997.7819708276002"/>
    <n v="0.93088251488650653"/>
  </r>
  <r>
    <x v="1"/>
    <s v="SKU9"/>
    <n v="64.0157329412785"/>
    <n v="62735.418282452927"/>
    <n v="57764.272294867376"/>
    <s v="Discount Applied"/>
    <n v="35"/>
    <n v="980"/>
    <n v="4971.1459875855498"/>
    <s v="Unknown"/>
    <n v="14"/>
    <n v="27"/>
    <n v="83"/>
    <n v="1"/>
    <s v="GlobalLogix"/>
    <n v="7.1666452910482104"/>
    <x v="4"/>
    <x v="3"/>
    <n v="18"/>
    <n v="374"/>
    <n v="17"/>
    <n v="27.107980854843898"/>
    <s v="Pending"/>
    <n v="2187.3003285146747"/>
    <n v="2.2319391107292601"/>
    <s v="Sea"/>
    <s v="Indo-Pacific Corridor"/>
    <n v="593.48025872065102"/>
    <n v="4377.6657288648985"/>
    <n v="0.88061500100726264"/>
    <n v="7.248123223220293E-2"/>
    <n v="19"/>
    <n v="70"/>
    <n v="2967.401293603255"/>
    <n v="2003.7446939822948"/>
    <n v="0.40307500503631344"/>
  </r>
  <r>
    <x v="1"/>
    <s v="SKU10"/>
    <n v="15.707795681912099"/>
    <n v="15644.964499184451"/>
    <n v="13313.998697092511"/>
    <s v="Discount Applied"/>
    <n v="11"/>
    <n v="996"/>
    <n v="2330.9658020919401"/>
    <s v="Non-binary"/>
    <n v="51"/>
    <n v="13"/>
    <n v="80"/>
    <n v="2"/>
    <s v="SwiftParcel"/>
    <n v="8.6732112112786108"/>
    <x v="2"/>
    <x v="2"/>
    <n v="29"/>
    <n v="921"/>
    <n v="2"/>
    <n v="38.072898520625998"/>
    <s v="Fail"/>
    <n v="344.64318154268096"/>
    <n v="0.34602729070550298"/>
    <s v="Rail"/>
    <s v="Trans-Eurasian Hub"/>
    <n v="210.743008964246"/>
    <n v="2120.2227931276939"/>
    <n v="0.9095898323454108"/>
    <n v="4.1338652031081433E-2"/>
    <n v="31"/>
    <n v="19.529411764705884"/>
    <n v="1053.7150448212301"/>
    <n v="1277.25075727071"/>
    <n v="0.54794916172705455"/>
  </r>
  <r>
    <x v="1"/>
    <s v="SKU11"/>
    <n v="90.635459982288594"/>
    <n v="87010.041582997044"/>
    <n v="80910.097467415588"/>
    <s v="Discount Applied"/>
    <n v="95"/>
    <n v="960"/>
    <n v="6099.9441155814502"/>
    <s v="Female"/>
    <n v="46"/>
    <n v="23"/>
    <n v="60"/>
    <n v="1"/>
    <s v="GlobalLogix"/>
    <n v="4.5239431243166601"/>
    <x v="4"/>
    <x v="2"/>
    <n v="4"/>
    <n v="452"/>
    <n v="10"/>
    <n v="10.754272815029299"/>
    <s v="Pass"/>
    <n v="620.74037699717178"/>
    <n v="0.64660455937205397"/>
    <s v="Road"/>
    <s v="Trans-Eurasian Hub"/>
    <n v="510.35800043352299"/>
    <n v="5589.5861151479276"/>
    <n v="0.91633398753115047"/>
    <n v="2.3792638971303761E-2"/>
    <n v="5"/>
    <n v="20.869565217391305"/>
    <n v="2551.7900021676151"/>
    <n v="3548.1541134138351"/>
    <n v="0.58166993765575226"/>
  </r>
  <r>
    <x v="0"/>
    <s v="SKU12"/>
    <n v="71.213389075359999"/>
    <n v="23927.69872932096"/>
    <n v="21053.957283299522"/>
    <s v="Discount Applied"/>
    <n v="41"/>
    <n v="336"/>
    <n v="2873.74144602144"/>
    <s v="Unknown"/>
    <n v="100"/>
    <n v="30"/>
    <n v="85"/>
    <n v="4"/>
    <s v="GlobalLogix"/>
    <n v="1.32527401018452"/>
    <x v="3"/>
    <x v="0"/>
    <n v="28"/>
    <n v="447"/>
    <n v="3"/>
    <n v="40.382359702924802"/>
    <s v="Pending"/>
    <n v="1240.2802583232499"/>
    <n v="3.69131029262872"/>
    <s v="Air"/>
    <s v="Indo-Pacific Corridor"/>
    <n v="758.72477260293795"/>
    <n v="2115.0166734185023"/>
    <n v="0.7359801544939415"/>
    <n v="9.0340849447259064E-2"/>
    <n v="32"/>
    <n v="3.36"/>
    <n v="3793.62386301469"/>
    <n v="-919.88241699324999"/>
    <n v="-0.32009922753029296"/>
  </r>
  <r>
    <x v="1"/>
    <s v="SKU13"/>
    <n v="16.160393317379899"/>
    <n v="4023.9379360275948"/>
    <n v="-28.80048021026505"/>
    <s v="Premium Markup"/>
    <n v="5"/>
    <n v="249"/>
    <n v="4052.7384162378598"/>
    <s v="Male"/>
    <n v="80"/>
    <n v="8"/>
    <n v="48"/>
    <n v="9"/>
    <s v="GlobalLogix"/>
    <n v="9.5372830611083295"/>
    <x v="2"/>
    <x v="1"/>
    <n v="29"/>
    <n v="929"/>
    <n v="24"/>
    <n v="87.213057815135599"/>
    <s v="Fail"/>
    <n v="710.41956354561341"/>
    <n v="2.8530906166490499"/>
    <s v="Rail"/>
    <s v="Indo-Pacific Corridor"/>
    <n v="430.16909697513597"/>
    <n v="3622.5693192627241"/>
    <n v="0.89385717685316091"/>
    <n v="9.3878426065807971E-2"/>
    <n v="38"/>
    <n v="3.1124999999999998"/>
    <n v="2150.8454848756801"/>
    <n v="1901.8929313621798"/>
    <n v="0.46928588426580442"/>
  </r>
  <r>
    <x v="1"/>
    <s v="SKU14"/>
    <n v="99.171328638624104"/>
    <n v="55734.286694906747"/>
    <n v="47080.715768436945"/>
    <s v="Discount Applied"/>
    <n v="26"/>
    <n v="562"/>
    <n v="8653.5709264697998"/>
    <s v="Non-binary"/>
    <n v="54"/>
    <n v="29"/>
    <n v="78"/>
    <n v="5"/>
    <s v="TransOceanic"/>
    <n v="2.0397701894493299"/>
    <x v="1"/>
    <x v="3"/>
    <n v="11"/>
    <n v="568"/>
    <n v="29"/>
    <n v="98.6099572427038"/>
    <s v="Pending"/>
    <n v="754.36785825017432"/>
    <n v="1.3422915627227301"/>
    <s v="Rail"/>
    <s v="Indo-Pacific Corridor"/>
    <n v="196.329446112412"/>
    <n v="8457.2414803573884"/>
    <n v="0.97731232022240977"/>
    <n v="0.17360907965264755"/>
    <n v="16"/>
    <n v="10.407407407407407"/>
    <n v="981.64723056206003"/>
    <n v="7671.9236959077398"/>
    <n v="0.88656160111204863"/>
  </r>
  <r>
    <x v="1"/>
    <s v="SKU15"/>
    <n v="36.989244928626903"/>
    <n v="17347.955871526017"/>
    <n v="11905.869086128347"/>
    <s v="Discount Applied"/>
    <n v="94"/>
    <n v="469"/>
    <n v="5442.0867853976697"/>
    <s v="Non-binary"/>
    <n v="9"/>
    <n v="8"/>
    <n v="69"/>
    <n v="7"/>
    <s v="TransOceanic"/>
    <n v="2.4220397232752"/>
    <x v="1"/>
    <x v="3"/>
    <n v="25"/>
    <n v="558"/>
    <n v="14"/>
    <n v="5.7914366298629796"/>
    <s v="Pending"/>
    <n v="47.220257384028621"/>
    <n v="0.100682851565093"/>
    <s v="Air"/>
    <s v="Trans-Eurasian Hub"/>
    <n v="929.23528996088896"/>
    <n v="4512.8514954367811"/>
    <n v="0.82925018901678782"/>
    <n v="1.0378918691510716E-2"/>
    <n v="32"/>
    <n v="52.111111111111114"/>
    <n v="4646.1764498044449"/>
    <n v="795.91033559322477"/>
    <n v="0.14625094508393902"/>
  </r>
  <r>
    <x v="1"/>
    <s v="SKU16"/>
    <n v="7.5471721097912701"/>
    <n v="2113.2081907415554"/>
    <n v="-4340.589777434725"/>
    <s v="Premium Markup"/>
    <n v="74"/>
    <n v="280"/>
    <n v="6453.7979681762799"/>
    <s v="Female"/>
    <n v="2"/>
    <n v="5"/>
    <n v="78"/>
    <n v="1"/>
    <s v="TransOceanic"/>
    <n v="4.1913245857054999"/>
    <x v="1"/>
    <x v="1"/>
    <n v="29"/>
    <n v="215"/>
    <n v="29"/>
    <n v="46.279879240508301"/>
    <s v="Pending"/>
    <n v="63.394901037978997"/>
    <n v="0.226410360849925"/>
    <s v="Road"/>
    <s v="Trans-Eurasian Hub"/>
    <n v="187.75207545920301"/>
    <n v="6266.0458927170766"/>
    <n v="0.97090828123455208"/>
    <n v="0.21525525228143397"/>
    <n v="30"/>
    <n v="140"/>
    <n v="938.76037729601512"/>
    <n v="5515.0375908802653"/>
    <n v="0.85454140617276086"/>
  </r>
  <r>
    <x v="2"/>
    <s v="SKU17"/>
    <n v="81.462534369237005"/>
    <n v="10264.279330523863"/>
    <n v="7634.8828956786028"/>
    <s v="Discount Applied"/>
    <n v="82"/>
    <n v="126"/>
    <n v="2629.39643484526"/>
    <s v="Female"/>
    <n v="45"/>
    <n v="17"/>
    <n v="85"/>
    <n v="9"/>
    <s v="SwiftParcel"/>
    <n v="3.5854189582323399"/>
    <x v="1"/>
    <x v="2"/>
    <n v="4"/>
    <n v="211"/>
    <n v="2"/>
    <n v="69.929345518672307"/>
    <s v="Fail"/>
    <n v="173.1780539679645"/>
    <n v="1.3744289997457499"/>
    <s v="Road"/>
    <s v="Trans-Eurasian Hub"/>
    <n v="842.68683000464102"/>
    <n v="1786.709604840619"/>
    <n v="0.67951320735162057"/>
    <n v="0.33141869914062705"/>
    <n v="13"/>
    <n v="2.8"/>
    <n v="4213.4341500232049"/>
    <n v="-1584.0377151779448"/>
    <n v="-0.60243396324189713"/>
  </r>
  <r>
    <x v="0"/>
    <s v="SKU18"/>
    <n v="36.4436277704609"/>
    <n v="22595.049217685759"/>
    <n v="13230.375712609588"/>
    <s v="Discount Applied"/>
    <n v="23"/>
    <n v="620"/>
    <n v="9364.6735050761708"/>
    <s v="Unknown"/>
    <n v="10"/>
    <n v="10"/>
    <n v="46"/>
    <n v="8"/>
    <s v="SwiftParcel"/>
    <n v="4.3392247141107001"/>
    <x v="4"/>
    <x v="2"/>
    <n v="8"/>
    <n v="202"/>
    <n v="5"/>
    <n v="76.961228023819999"/>
    <s v="Fail"/>
    <n v="1766.7905630733046"/>
    <n v="2.8496621985053299"/>
    <s v="Sea"/>
    <s v="Trans-Eurasian Hub"/>
    <n v="787.77985049434403"/>
    <n v="8576.8936545818269"/>
    <n v="0.91587748894103749"/>
    <n v="0.38099617833574256"/>
    <n v="16"/>
    <n v="62"/>
    <n v="3938.89925247172"/>
    <n v="5425.7742526044512"/>
    <n v="0.57938744470518722"/>
  </r>
  <r>
    <x v="1"/>
    <s v="SKU19"/>
    <n v="51.123870087964697"/>
    <n v="9560.1637064493989"/>
    <n v="7006.6681214581895"/>
    <s v="Discount Applied"/>
    <n v="100"/>
    <n v="187"/>
    <n v="2553.4955849912099"/>
    <s v="Unknown"/>
    <n v="48"/>
    <n v="11"/>
    <n v="94"/>
    <n v="3"/>
    <s v="GlobalLogix"/>
    <n v="4.7426358828418698"/>
    <x v="3"/>
    <x v="2"/>
    <n v="28"/>
    <n v="581"/>
    <n v="9"/>
    <n v="5.6046908643717801"/>
    <s v="Pending"/>
    <n v="543.81884566868553"/>
    <n v="2.9081221693512598"/>
    <s v="Rail"/>
    <s v="Indo-Pacific Corridor"/>
    <n v="882.19886354704101"/>
    <n v="1671.2967214441687"/>
    <n v="0.65451326067200621"/>
    <n v="9.6466279937552149E-3"/>
    <n v="31"/>
    <n v="3.8958333333333335"/>
    <n v="4410.9943177352052"/>
    <n v="-1857.4987327439953"/>
    <n v="-0.72743369663996882"/>
  </r>
  <r>
    <x v="1"/>
    <s v="SKU20"/>
    <n v="96.341072439963298"/>
    <n v="30829.143180788255"/>
    <n v="22701.115483937065"/>
    <s v="Discount Applied"/>
    <n v="22"/>
    <n v="320"/>
    <n v="8128.0276968511898"/>
    <s v="Unknown"/>
    <n v="27"/>
    <n v="12"/>
    <n v="68"/>
    <n v="6"/>
    <s v="GlobalLogix"/>
    <n v="8.8783346509268402"/>
    <x v="1"/>
    <x v="4"/>
    <n v="17"/>
    <n v="328"/>
    <n v="6"/>
    <n v="8.6930424258772803"/>
    <s v="Fail"/>
    <n v="51.035620709604487"/>
    <n v="0.15948631471751401"/>
    <s v="Air"/>
    <s v="Americas Gateway"/>
    <n v="771.225084681157"/>
    <n v="7356.8026121700332"/>
    <n v="0.90511534735789223"/>
    <n v="2.6503178127674634E-2"/>
    <n v="23"/>
    <n v="11.851851851851851"/>
    <n v="3856.1254234057851"/>
    <n v="4271.9022734454047"/>
    <n v="0.52557673678946071"/>
  </r>
  <r>
    <x v="2"/>
    <s v="SKU21"/>
    <n v="84.893868984950799"/>
    <n v="51021.215259955432"/>
    <n v="43934.162563598002"/>
    <s v="Discount Applied"/>
    <n v="60"/>
    <n v="601"/>
    <n v="7087.0526963574302"/>
    <s v="Unknown"/>
    <n v="69"/>
    <n v="25"/>
    <n v="7"/>
    <n v="6"/>
    <s v="TransOceanic"/>
    <n v="6.0378837692182898"/>
    <x v="2"/>
    <x v="0"/>
    <n v="22"/>
    <n v="564"/>
    <n v="1"/>
    <n v="99.466108603599096"/>
    <s v="Fail"/>
    <n v="239.30448929724065"/>
    <n v="0.39817718685065001"/>
    <s v="Road"/>
    <s v="Americas Gateway"/>
    <n v="802.05631181755803"/>
    <n v="6284.9963845398725"/>
    <n v="0.88682794580745883"/>
    <n v="0.17635834858794167"/>
    <n v="28"/>
    <n v="8.7101449275362324"/>
    <n v="4010.2815590877899"/>
    <n v="3076.7711372696403"/>
    <n v="0.43413972903729425"/>
  </r>
  <r>
    <x v="0"/>
    <s v="SKU22"/>
    <n v="27.679780886501899"/>
    <n v="24468.926303667678"/>
    <n v="22078.118437111509"/>
    <s v="Discount Applied"/>
    <n v="55"/>
    <n v="884"/>
    <n v="2390.8078665561702"/>
    <s v="Unknown"/>
    <n v="71"/>
    <n v="1"/>
    <n v="63"/>
    <n v="10"/>
    <s v="GlobalLogix"/>
    <n v="9.5676489209230393"/>
    <x v="3"/>
    <x v="3"/>
    <n v="16"/>
    <n v="358"/>
    <n v="21"/>
    <n v="1.59722274305067"/>
    <s v="Fail"/>
    <n v="4341.4088240806195"/>
    <n v="4.9110959548423301"/>
    <s v="Rail"/>
    <s v="Americas Gateway"/>
    <n v="555.85910367174301"/>
    <n v="1834.9487628844272"/>
    <n v="0.76750155817730847"/>
    <n v="4.4615160420409779E-3"/>
    <n v="26"/>
    <n v="12.450704225352112"/>
    <n v="2779.2955183587151"/>
    <n v="-388.48765180254486"/>
    <n v="-0.16249220911345769"/>
  </r>
  <r>
    <x v="2"/>
    <s v="SKU23"/>
    <n v="4.3243411858641601"/>
    <n v="1690.8174036728865"/>
    <n v="-7167.5501673385934"/>
    <s v="Premium Markup"/>
    <n v="30"/>
    <n v="391"/>
    <n v="8858.3675710114803"/>
    <s v="Unknown"/>
    <n v="84"/>
    <n v="5"/>
    <n v="29"/>
    <n v="7"/>
    <s v="GlobalLogix"/>
    <n v="2.92485760114555"/>
    <x v="2"/>
    <x v="3"/>
    <n v="24"/>
    <n v="867"/>
    <n v="28"/>
    <n v="42.084436738309897"/>
    <s v="Fail"/>
    <n v="1348.1927457410416"/>
    <n v="3.44806328834026"/>
    <s v="Road"/>
    <s v="Indo-Pacific Corridor"/>
    <n v="393.84334857842703"/>
    <n v="8464.5242224330541"/>
    <n v="0.95553996315672685"/>
    <n v="4.8540296122618107E-2"/>
    <n v="31"/>
    <n v="4.6547619047619051"/>
    <n v="1969.2167428921352"/>
    <n v="6889.1508281193455"/>
    <n v="0.77769981578363401"/>
  </r>
  <r>
    <x v="0"/>
    <s v="SKU24"/>
    <n v="4.1563083593111001"/>
    <n v="868.66844709601992"/>
    <n v="-8180.4094138438695"/>
    <s v="Premium Markup"/>
    <n v="32"/>
    <n v="209"/>
    <n v="9049.0778609398894"/>
    <s v="Male"/>
    <n v="4"/>
    <n v="26"/>
    <n v="2"/>
    <n v="8"/>
    <s v="SwiftParcel"/>
    <n v="9.7412916892843597"/>
    <x v="4"/>
    <x v="3"/>
    <n v="16"/>
    <n v="329"/>
    <n v="7"/>
    <n v="39.292875586065698"/>
    <s v="Pass"/>
    <n v="810.52267774699237"/>
    <n v="3.8780989365884802"/>
    <s v="Road"/>
    <s v="Trans-Eurasian Hub"/>
    <n v="764.93537594070801"/>
    <n v="8284.1424849991818"/>
    <n v="0.91546814076575345"/>
    <n v="0.11943123278439421"/>
    <n v="24"/>
    <n v="52.25"/>
    <n v="3824.6768797035402"/>
    <n v="5224.4009812363493"/>
    <n v="0.57734070382876701"/>
  </r>
  <r>
    <x v="0"/>
    <s v="SKU25"/>
    <n v="39.629343985092603"/>
    <n v="5627.3668458831498"/>
    <n v="3452.5897915324999"/>
    <s v="Discount Applied"/>
    <n v="73"/>
    <n v="142"/>
    <n v="2174.7770543506499"/>
    <s v="Male"/>
    <n v="82"/>
    <n v="11"/>
    <n v="52"/>
    <n v="3"/>
    <s v="SwiftParcel"/>
    <n v="2.2310736812817198"/>
    <x v="3"/>
    <x v="4"/>
    <n v="1"/>
    <n v="631"/>
    <n v="17"/>
    <n v="83.344058991677898"/>
    <s v="Pending"/>
    <n v="200.26935580279485"/>
    <n v="1.41034757607602"/>
    <s v="Air"/>
    <s v="Trans-Eurasian Hub"/>
    <n v="750.73784066827"/>
    <n v="1424.0392136823798"/>
    <n v="0.65479779218452938"/>
    <n v="0.13208250236399033"/>
    <n v="4"/>
    <n v="1.7317073170731707"/>
    <n v="3753.6892033413501"/>
    <n v="-1578.9121489907002"/>
    <n v="-0.72601103907735298"/>
  </r>
  <r>
    <x v="0"/>
    <s v="SKU26"/>
    <n v="97.446946617892806"/>
    <n v="34398.77215611616"/>
    <n v="30682.278830222131"/>
    <s v="Discount Applied"/>
    <n v="9"/>
    <n v="353"/>
    <n v="3716.49332589403"/>
    <s v="Male"/>
    <n v="59"/>
    <n v="16"/>
    <n v="48"/>
    <n v="4"/>
    <s v="TransOceanic"/>
    <n v="6.5075486210785503"/>
    <x v="4"/>
    <x v="0"/>
    <n v="2"/>
    <n v="258"/>
    <n v="10"/>
    <n v="30.661677477859499"/>
    <s v="Pending"/>
    <n v="733.79896457986092"/>
    <n v="2.07875060787496"/>
    <s v="Road"/>
    <s v="Indo-Pacific Corridor"/>
    <n v="405.167067888855"/>
    <n v="3311.3262580051751"/>
    <n v="0.89098135463719985"/>
    <n v="0.11884371115449419"/>
    <n v="6"/>
    <n v="5.9830508474576272"/>
    <n v="2025.835339444275"/>
    <n v="1690.6579864497551"/>
    <n v="0.45490677318599915"/>
  </r>
  <r>
    <x v="2"/>
    <s v="SKU27"/>
    <n v="92.557360812401996"/>
    <n v="32580.191005965502"/>
    <n v="29893.733782389521"/>
    <s v="Discount Applied"/>
    <n v="42"/>
    <n v="352"/>
    <n v="2686.4572235759802"/>
    <s v="Unknown"/>
    <n v="47"/>
    <n v="9"/>
    <n v="62"/>
    <n v="8"/>
    <s v="SwiftParcel"/>
    <n v="7.4067509529980704"/>
    <x v="2"/>
    <x v="2"/>
    <n v="29"/>
    <n v="309"/>
    <n v="6"/>
    <n v="65.686259608488598"/>
    <s v="Pass"/>
    <n v="1489.4586338841548"/>
    <n v="4.2314165735345304"/>
    <s v="Air"/>
    <s v="Trans-Eurasian Hub"/>
    <n v="493.871215316205"/>
    <n v="2192.5860082597751"/>
    <n v="0.81616263568909309"/>
    <n v="0.2125768919368563"/>
    <n v="37"/>
    <n v="7.4893617021276597"/>
    <n v="2469.3560765810248"/>
    <n v="217.10114699495534"/>
    <n v="8.0813178445465442E-2"/>
  </r>
  <r>
    <x v="2"/>
    <s v="SKU28"/>
    <n v="2.3972747055971402"/>
    <n v="944.52623400527318"/>
    <n v="-5172.7983810787164"/>
    <s v="Premium Markup"/>
    <n v="12"/>
    <n v="394"/>
    <n v="6117.3246150839896"/>
    <s v="Female"/>
    <n v="48"/>
    <n v="15"/>
    <n v="24"/>
    <n v="4"/>
    <s v="TransOceanic"/>
    <n v="9.8981405080692202"/>
    <x v="1"/>
    <x v="4"/>
    <n v="28"/>
    <n v="177"/>
    <n v="28"/>
    <n v="14.1478154439792"/>
    <s v="Pass"/>
    <n v="1113.3707102476512"/>
    <n v="2.8258139854001301"/>
    <s v="Rail"/>
    <s v="Indo-Pacific Corridor"/>
    <n v="336.89016851997701"/>
    <n v="5780.4344465640124"/>
    <n v="0.94492851209999884"/>
    <n v="7.9931160700447451E-2"/>
    <n v="32"/>
    <n v="8.2083333333333339"/>
    <n v="1684.4508425998852"/>
    <n v="4432.8737724841048"/>
    <n v="0.72464256049999443"/>
  </r>
  <r>
    <x v="2"/>
    <s v="SKU29"/>
    <n v="63.447559185207297"/>
    <n v="16052.232473857446"/>
    <n v="7733.3292792402754"/>
    <s v="Discount Applied"/>
    <n v="3"/>
    <n v="253"/>
    <n v="8318.9031946171708"/>
    <s v="Female"/>
    <n v="45"/>
    <n v="5"/>
    <n v="67"/>
    <n v="7"/>
    <s v="TransOceanic"/>
    <n v="8.1009731453970293"/>
    <x v="1"/>
    <x v="2"/>
    <n v="13"/>
    <n v="444"/>
    <n v="4"/>
    <n v="46.870238797617098"/>
    <s v="Fail"/>
    <n v="1168.9981543219662"/>
    <n v="4.6205460645137002"/>
    <s v="Road"/>
    <s v="Indo-Pacific Corridor"/>
    <n v="866.472800129657"/>
    <n v="7452.4303944875137"/>
    <n v="0.89584290382290821"/>
    <n v="0.105563600895534"/>
    <n v="20"/>
    <n v="5.6222222222222218"/>
    <n v="4332.3640006482847"/>
    <n v="3986.5391939688861"/>
    <n v="0.47921451911454099"/>
  </r>
  <r>
    <x v="0"/>
    <s v="SKU30"/>
    <n v="8.0228592105263896"/>
    <n v="2623.4749618421292"/>
    <n v="-142.8674050239506"/>
    <s v="Premium Markup"/>
    <n v="10"/>
    <n v="327"/>
    <n v="2766.3423668660798"/>
    <s v="Male"/>
    <n v="60"/>
    <n v="26"/>
    <n v="35"/>
    <n v="7"/>
    <s v="TransOceanic"/>
    <n v="8.9545283153180097"/>
    <x v="3"/>
    <x v="0"/>
    <n v="5"/>
    <n v="228"/>
    <n v="12"/>
    <n v="57.870902924036201"/>
    <s v="Pending"/>
    <n v="54.240022186158811"/>
    <n v="0.16587162748060799"/>
    <s v="Air"/>
    <s v="Americas Gateway"/>
    <n v="351.50421933503799"/>
    <n v="2414.8381475310416"/>
    <n v="0.87293538806143922"/>
    <n v="0.25381974966682547"/>
    <n v="12"/>
    <n v="5.45"/>
    <n v="1757.5210966751899"/>
    <n v="1008.8212701908899"/>
    <n v="0.36467694030719644"/>
  </r>
  <r>
    <x v="1"/>
    <s v="SKU31"/>
    <n v="50.847393051718697"/>
    <n v="8542.3620326887412"/>
    <n v="-1112.7730700306493"/>
    <s v="Premium Markup"/>
    <n v="28"/>
    <n v="168"/>
    <n v="9655.1351027193905"/>
    <s v="Male"/>
    <n v="6"/>
    <n v="17"/>
    <n v="44"/>
    <n v="4"/>
    <s v="TransOceanic"/>
    <n v="2.6796609649813998"/>
    <x v="0"/>
    <x v="4"/>
    <n v="12"/>
    <n v="908"/>
    <n v="14"/>
    <n v="60.387378614862101"/>
    <s v="Pass"/>
    <n v="245.88605974342536"/>
    <n v="1.4636074984727701"/>
    <s v="Rail"/>
    <s v="Trans-Eurasian Hub"/>
    <n v="846.66525698669398"/>
    <n v="8808.4698457326958"/>
    <n v="0.91230933094367272"/>
    <n v="6.6505923584649893E-2"/>
    <n v="16"/>
    <n v="28"/>
    <n v="4233.3262849334697"/>
    <n v="5421.8088177859208"/>
    <n v="0.56154665471836396"/>
  </r>
  <r>
    <x v="1"/>
    <s v="SKU32"/>
    <n v="79.209936015656695"/>
    <n v="61862.960028227877"/>
    <n v="52291.409540900066"/>
    <s v="Discount Applied"/>
    <n v="43"/>
    <n v="781"/>
    <n v="9571.5504873278096"/>
    <s v="Unknown"/>
    <n v="89"/>
    <n v="13"/>
    <n v="64"/>
    <n v="4"/>
    <s v="SwiftParcel"/>
    <n v="6.5991049012385803"/>
    <x v="0"/>
    <x v="3"/>
    <n v="14"/>
    <n v="314"/>
    <n v="24"/>
    <n v="1.0850685695870601"/>
    <s v="Pending"/>
    <n v="781.71119367652545"/>
    <n v="1.0009106193041299"/>
    <s v="Sea"/>
    <s v="Indo-Pacific Corridor"/>
    <n v="134.36909686103101"/>
    <n v="9437.1813904667779"/>
    <n v="0.98596161645504254"/>
    <n v="3.4556323872199368E-3"/>
    <n v="18"/>
    <n v="8.7752808988764048"/>
    <n v="671.84548430515508"/>
    <n v="8899.7050030226546"/>
    <n v="0.92980808227521339"/>
  </r>
  <r>
    <x v="2"/>
    <s v="SKU33"/>
    <n v="64.795435000155607"/>
    <n v="39913.987960095852"/>
    <n v="34763.989609687822"/>
    <s v="Discount Applied"/>
    <n v="63"/>
    <n v="616"/>
    <n v="5149.9983504080301"/>
    <s v="Non-binary"/>
    <n v="4"/>
    <n v="17"/>
    <n v="95"/>
    <n v="9"/>
    <s v="SwiftParcel"/>
    <n v="4.85827050343664"/>
    <x v="2"/>
    <x v="3"/>
    <n v="24"/>
    <n v="937"/>
    <n v="18"/>
    <n v="35.624741397125"/>
    <s v="Fail"/>
    <n v="2923.9355503190136"/>
    <n v="4.7466486206477496"/>
    <s v="Rail"/>
    <s v="Indo-Pacific Corridor"/>
    <n v="254.776159219286"/>
    <n v="4895.2221911887445"/>
    <n v="0.95052888527641954"/>
    <n v="3.8020001491061897E-2"/>
    <n v="33"/>
    <n v="154"/>
    <n v="1273.88079609643"/>
    <n v="3876.1175543116001"/>
    <n v="0.7526444263820975"/>
  </r>
  <r>
    <x v="1"/>
    <s v="SKU34"/>
    <n v="37.467592329842397"/>
    <n v="22555.490582565122"/>
    <n v="13493.779687057402"/>
    <s v="Discount Applied"/>
    <n v="96"/>
    <n v="602"/>
    <n v="9061.7108955077201"/>
    <s v="Unknown"/>
    <n v="1"/>
    <n v="26"/>
    <n v="21"/>
    <n v="7"/>
    <s v="GlobalLogix"/>
    <n v="1.0194875708221101"/>
    <x v="1"/>
    <x v="1"/>
    <n v="28"/>
    <n v="648"/>
    <n v="28"/>
    <n v="17.803756331391199"/>
    <s v="Pending"/>
    <n v="2330.9727042522422"/>
    <n v="3.8720476814821301"/>
    <s v="Road"/>
    <s v="Indo-Pacific Corridor"/>
    <n v="188.74214114905601"/>
    <n v="8872.9687543586642"/>
    <n v="0.97917146736135408"/>
    <n v="2.7474932610171605E-2"/>
    <n v="35"/>
    <n v="602"/>
    <n v="943.71070574528005"/>
    <n v="8118.0001897624397"/>
    <n v="0.89585733680677027"/>
  </r>
  <r>
    <x v="2"/>
    <s v="SKU35"/>
    <n v="84.957786816350406"/>
    <n v="38146.046280541334"/>
    <n v="31604.716935738874"/>
    <s v="Discount Applied"/>
    <n v="11"/>
    <n v="449"/>
    <n v="6541.3293448024597"/>
    <s v="Female"/>
    <n v="42"/>
    <n v="27"/>
    <n v="85"/>
    <n v="8"/>
    <s v="SwiftParcel"/>
    <n v="5.2881899903273997"/>
    <x v="1"/>
    <x v="4"/>
    <n v="26"/>
    <n v="671"/>
    <n v="19"/>
    <n v="45.531364237162101"/>
    <s v="Fail"/>
    <n v="1708.6844872802642"/>
    <n v="3.8055333792433501"/>
    <s v="Air"/>
    <s v="Americas Gateway"/>
    <n v="403.80897424817999"/>
    <n v="6137.5203705542799"/>
    <n v="0.93826805638993949"/>
    <n v="6.7855982469690171E-2"/>
    <n v="34"/>
    <n v="10.69047619047619"/>
    <n v="2019.0448712409"/>
    <n v="4522.2844735615599"/>
    <n v="0.6913402819496971"/>
  </r>
  <r>
    <x v="1"/>
    <s v="SKU36"/>
    <n v="9.81300257875405"/>
    <n v="9449.9214833401493"/>
    <n v="1876.5190254914196"/>
    <s v="Discount Applied"/>
    <n v="34"/>
    <n v="963"/>
    <n v="7573.4024578487297"/>
    <s v="Female"/>
    <n v="18"/>
    <n v="23"/>
    <n v="28"/>
    <n v="3"/>
    <s v="TransOceanic"/>
    <n v="2.1079512671590801"/>
    <x v="4"/>
    <x v="1"/>
    <n v="13"/>
    <n v="769"/>
    <n v="8"/>
    <n v="11.423027139565599"/>
    <s v="Pending"/>
    <n v="2609.5977715388917"/>
    <n v="2.7098626911099601"/>
    <s v="Sea"/>
    <s v="Trans-Eurasian Hub"/>
    <n v="505.55713422546398"/>
    <n v="7067.8453236232654"/>
    <n v="0.93324570600344525"/>
    <n v="1.4854391598914954E-2"/>
    <n v="16"/>
    <n v="53.5"/>
    <n v="2527.7856711273198"/>
    <n v="5045.6167867214099"/>
    <n v="0.66622853001722659"/>
  </r>
  <r>
    <x v="1"/>
    <s v="SKU37"/>
    <n v="23.3998447526143"/>
    <n v="22534.05049676757"/>
    <n v="20095.710566297548"/>
    <s v="Discount Applied"/>
    <n v="5"/>
    <n v="963"/>
    <n v="2438.3399304700201"/>
    <s v="Female"/>
    <n v="25"/>
    <n v="8"/>
    <n v="21"/>
    <n v="9"/>
    <s v="GlobalLogix"/>
    <n v="1.53265527359043"/>
    <x v="0"/>
    <x v="1"/>
    <n v="23"/>
    <n v="517"/>
    <n v="30"/>
    <n v="33.616768953730002"/>
    <s v="Pending"/>
    <n v="4674.4675094123177"/>
    <n v="4.8540680263886999"/>
    <s v="Road"/>
    <s v="Trans-Eurasian Hub"/>
    <n v="503.06557914966902"/>
    <n v="1935.2743513203511"/>
    <n v="0.79368521473841558"/>
    <n v="6.5022763933713743E-2"/>
    <n v="32"/>
    <n v="38.520000000000003"/>
    <n v="2515.3278957483453"/>
    <n v="-76.987965278325191"/>
    <n v="-3.1573926307922461E-2"/>
  </r>
  <r>
    <x v="2"/>
    <s v="SKU38"/>
    <n v="52.075930682707799"/>
    <n v="36713.531131308999"/>
    <n v="27021.213091090569"/>
    <s v="Discount Applied"/>
    <n v="75"/>
    <n v="705"/>
    <n v="9692.3180402184298"/>
    <s v="Non-binary"/>
    <n v="69"/>
    <n v="1"/>
    <n v="88"/>
    <n v="5"/>
    <s v="TransOceanic"/>
    <n v="9.2359314372492207"/>
    <x v="2"/>
    <x v="1"/>
    <n v="9"/>
    <n v="109"/>
    <n v="18"/>
    <n v="23.126363582464698"/>
    <s v="Fail"/>
    <n v="1197.169341203652"/>
    <n v="1.6981125407144"/>
    <s v="Rail"/>
    <s v="Trans-Eurasian Hub"/>
    <n v="768.65191395437"/>
    <n v="8923.6661262640591"/>
    <n v="0.9206947284679643"/>
    <n v="0.21216847323362109"/>
    <n v="14"/>
    <n v="10.217391304347826"/>
    <n v="3843.2595697718498"/>
    <n v="5849.05847044658"/>
    <n v="0.60347364233982193"/>
  </r>
  <r>
    <x v="1"/>
    <s v="SKU39"/>
    <n v="19.127477265823199"/>
    <n v="3366.4359987848829"/>
    <n v="1453.970335684123"/>
    <s v="Discount Applied"/>
    <n v="26"/>
    <n v="176"/>
    <n v="1912.4656631007599"/>
    <s v="Female"/>
    <n v="78"/>
    <n v="29"/>
    <n v="34"/>
    <n v="3"/>
    <s v="GlobalLogix"/>
    <n v="5.5625037788303802"/>
    <x v="4"/>
    <x v="1"/>
    <n v="18"/>
    <n v="450"/>
    <n v="26"/>
    <n v="58.890685768589897"/>
    <s v="Pending"/>
    <n v="213.11525480697057"/>
    <n v="1.21088212958506"/>
    <s v="Air"/>
    <s v="Indo-Pacific Corridor"/>
    <n v="778.86424137664699"/>
    <n v="1133.6014217241129"/>
    <n v="0.59274341160518296"/>
    <n v="0.13086819059686644"/>
    <n v="21"/>
    <n v="2.2564102564102564"/>
    <n v="3894.3212068832349"/>
    <n v="-1981.855543782475"/>
    <n v="-1.0362829419740851"/>
  </r>
  <r>
    <x v="1"/>
    <s v="SKU40"/>
    <n v="80.541424170940303"/>
    <n v="75145.148751487301"/>
    <n v="69420.189401031035"/>
    <s v="Discount Applied"/>
    <n v="97"/>
    <n v="933"/>
    <n v="5724.9593504562599"/>
    <s v="Female"/>
    <n v="90"/>
    <n v="20"/>
    <n v="39"/>
    <n v="8"/>
    <s v="SwiftParcel"/>
    <n v="7.2295951397364702"/>
    <x v="1"/>
    <x v="4"/>
    <n v="7"/>
    <n v="834"/>
    <n v="18"/>
    <n v="22.554106620887701"/>
    <s v="Fail"/>
    <n v="2764.1303569844031"/>
    <n v="2.9626263204548802"/>
    <s v="Rail"/>
    <s v="Indo-Pacific Corridor"/>
    <n v="610.45326961922694"/>
    <n v="5114.5060808370326"/>
    <n v="0.89336985081464793"/>
    <n v="2.7043293310416907E-2"/>
    <n v="15"/>
    <n v="10.366666666666667"/>
    <n v="3052.2663480961346"/>
    <n v="2672.6930023601253"/>
    <n v="0.46684925407323996"/>
  </r>
  <r>
    <x v="1"/>
    <s v="SKU41"/>
    <n v="99.113291615317095"/>
    <n v="55106.990138116307"/>
    <n v="49585.78487910534"/>
    <s v="Discount Applied"/>
    <n v="35"/>
    <n v="556"/>
    <n v="5521.2052590109697"/>
    <s v="Female"/>
    <n v="64"/>
    <n v="19"/>
    <n v="38"/>
    <n v="8"/>
    <s v="TransOceanic"/>
    <n v="5.7732637437666501"/>
    <x v="3"/>
    <x v="3"/>
    <n v="10"/>
    <n v="964"/>
    <n v="20"/>
    <n v="19.7129929112936"/>
    <s v="Pending"/>
    <n v="211.59891421254642"/>
    <n v="0.38057358671321301"/>
    <s v="Rail"/>
    <s v="Indo-Pacific Corridor"/>
    <n v="581.60235505058597"/>
    <n v="4939.6029039603836"/>
    <n v="0.89466025482364153"/>
    <n v="2.0449162771051452E-2"/>
    <n v="18"/>
    <n v="8.6875"/>
    <n v="2908.01177525293"/>
    <n v="2613.1934837580397"/>
    <n v="0.47330127411820749"/>
  </r>
  <r>
    <x v="1"/>
    <s v="SKU42"/>
    <n v="46.529167614516702"/>
    <n v="7212.0209802500885"/>
    <n v="5372.4115543933285"/>
    <s v="Discount Applied"/>
    <n v="98"/>
    <n v="155"/>
    <n v="1839.60942585676"/>
    <s v="Female"/>
    <n v="22"/>
    <n v="27"/>
    <n v="57"/>
    <n v="4"/>
    <s v="SwiftParcel"/>
    <n v="7.5262483268515004"/>
    <x v="2"/>
    <x v="2"/>
    <n v="19"/>
    <n v="791"/>
    <n v="4"/>
    <n v="61.735728954160898"/>
    <s v="Pending"/>
    <n v="2.8841729828073093"/>
    <n v="1.8607567631014899E-2"/>
    <s v="Air"/>
    <s v="Americas Gateway"/>
    <n v="523.36091472015801"/>
    <n v="1316.248511136602"/>
    <n v="0.71550433077585829"/>
    <n v="7.8047697792870921E-2"/>
    <n v="23"/>
    <n v="7.0454545454545459"/>
    <n v="2616.8045736007898"/>
    <n v="-777.19514774402978"/>
    <n v="-0.42247834612070834"/>
  </r>
  <r>
    <x v="0"/>
    <s v="SKU43"/>
    <n v="11.7432717763092"/>
    <n v="7022.4765222329015"/>
    <n v="1285.0509231138813"/>
    <s v="Discount Applied"/>
    <n v="6"/>
    <n v="598"/>
    <n v="5737.4255991190203"/>
    <s v="Unknown"/>
    <n v="36"/>
    <n v="29"/>
    <n v="85"/>
    <n v="9"/>
    <s v="TransOceanic"/>
    <n v="3.6940212683884499"/>
    <x v="2"/>
    <x v="0"/>
    <n v="22"/>
    <n v="775"/>
    <n v="16"/>
    <n v="11.440781823761199"/>
    <s v="Pass"/>
    <n v="1094.6842079701137"/>
    <n v="1.8305755986122301"/>
    <s v="Road"/>
    <s v="Americas Gateway"/>
    <n v="183.27289874871099"/>
    <n v="5554.1527003703095"/>
    <n v="0.96805659688609258"/>
    <n v="1.4762299127433806E-2"/>
    <n v="31"/>
    <n v="16.611111111111111"/>
    <n v="916.36449374355493"/>
    <n v="4821.0611053754656"/>
    <n v="0.84028298443046268"/>
  </r>
  <r>
    <x v="2"/>
    <s v="SKU44"/>
    <n v="51.355790913110297"/>
    <n v="47195.971849148365"/>
    <n v="40043.685799712854"/>
    <s v="Discount Applied"/>
    <n v="34"/>
    <n v="919"/>
    <n v="7152.28604943551"/>
    <s v="Female"/>
    <n v="13"/>
    <n v="19"/>
    <n v="72"/>
    <n v="6"/>
    <s v="SwiftParcel"/>
    <n v="7.5774496573766896"/>
    <x v="4"/>
    <x v="3"/>
    <n v="14"/>
    <n v="480"/>
    <n v="12"/>
    <n v="78.702393968878894"/>
    <s v="Fail"/>
    <n v="4013.7054246104412"/>
    <n v="4.3674705382050503"/>
    <s v="Air"/>
    <s v="Indo-Pacific Corridor"/>
    <n v="164.366528243419"/>
    <n v="6987.9195211920905"/>
    <n v="0.97701902201515112"/>
    <n v="0.16396332076849771"/>
    <n v="20"/>
    <n v="70.692307692307693"/>
    <n v="821.83264121709499"/>
    <n v="6330.4534082184146"/>
    <n v="0.8850951100757557"/>
  </r>
  <r>
    <x v="0"/>
    <s v="SKU45"/>
    <n v="33.784138033065503"/>
    <n v="810.81931279357207"/>
    <n v="-4457.1374947169479"/>
    <s v="Premium Markup"/>
    <n v="1"/>
    <n v="24"/>
    <n v="5267.9568075105199"/>
    <s v="Male"/>
    <n v="93"/>
    <n v="7"/>
    <n v="52"/>
    <n v="6"/>
    <s v="TransOceanic"/>
    <n v="5.2151550087119096"/>
    <x v="4"/>
    <x v="4"/>
    <n v="3"/>
    <n v="367"/>
    <n v="2"/>
    <n v="58.004787044743701"/>
    <s v="Pass"/>
    <n v="12.987698353453943"/>
    <n v="0.54115409806058101"/>
    <s v="Sea"/>
    <s v="Americas Gateway"/>
    <n v="553.42047123035502"/>
    <n v="4714.5363362801645"/>
    <n v="0.89494589810581882"/>
    <n v="0.15805119085761227"/>
    <n v="9"/>
    <n v="0.25806451612903225"/>
    <n v="2767.102356151775"/>
    <n v="2500.8544513587449"/>
    <n v="0.47472949052909463"/>
  </r>
  <r>
    <x v="0"/>
    <s v="SKU46"/>
    <n v="27.082207199888899"/>
    <n v="23263.615984704564"/>
    <n v="20706.848624070975"/>
    <s v="Discount Applied"/>
    <n v="75"/>
    <n v="859"/>
    <n v="2556.7673606335902"/>
    <s v="Non-binary"/>
    <n v="92"/>
    <n v="29"/>
    <n v="6"/>
    <n v="8"/>
    <s v="TransOceanic"/>
    <n v="4.0709558370840799"/>
    <x v="0"/>
    <x v="0"/>
    <n v="3"/>
    <n v="399"/>
    <n v="21"/>
    <n v="77.106342497849994"/>
    <s v="Pass"/>
    <n v="869.79169367265627"/>
    <n v="1.01256308925804"/>
    <s v="Air"/>
    <s v="Indo-Pacific Corridor"/>
    <n v="865.52577977123997"/>
    <n v="1691.2415808623502"/>
    <n v="0.66147652183859429"/>
    <n v="0.19324897869135338"/>
    <n v="11"/>
    <n v="9.3369565217391308"/>
    <n v="4327.6288988562001"/>
    <n v="-1770.8615382226099"/>
    <n v="-0.69261739080702844"/>
  </r>
  <r>
    <x v="1"/>
    <s v="SKU47"/>
    <n v="95.712135880936003"/>
    <n v="87098.043651651766"/>
    <n v="80008.569401717585"/>
    <s v="Discount Applied"/>
    <n v="93"/>
    <n v="910"/>
    <n v="7089.4742499341801"/>
    <s v="Male"/>
    <n v="4"/>
    <n v="15"/>
    <n v="51"/>
    <n v="9"/>
    <s v="TransOceanic"/>
    <n v="8.9787507559499709"/>
    <x v="1"/>
    <x v="3"/>
    <n v="28"/>
    <n v="362"/>
    <n v="11"/>
    <n v="27.5923630866636"/>
    <s v="Pending"/>
    <n v="19.264537449424814"/>
    <n v="2.1169821372994301E-2"/>
    <s v="Air"/>
    <s v="Indo-Pacific Corridor"/>
    <n v="126.72303340940699"/>
    <n v="6962.7512165247726"/>
    <n v="0.9821251860234087"/>
    <n v="7.6221997476971268E-2"/>
    <n v="37"/>
    <n v="227.5"/>
    <n v="633.61516704703502"/>
    <n v="6455.8590828871447"/>
    <n v="0.91062593011704385"/>
  </r>
  <r>
    <x v="0"/>
    <s v="SKU48"/>
    <n v="76.035544426891704"/>
    <n v="2205.0307883798596"/>
    <n v="-5192.0402162073206"/>
    <s v="Premium Markup"/>
    <n v="28"/>
    <n v="29"/>
    <n v="7397.0710045871801"/>
    <s v="Non-binary"/>
    <n v="30"/>
    <n v="16"/>
    <n v="9"/>
    <n v="3"/>
    <s v="SwiftParcel"/>
    <n v="7.0958331565551296"/>
    <x v="4"/>
    <x v="3"/>
    <n v="26"/>
    <n v="497"/>
    <n v="29"/>
    <n v="30.186023375822501"/>
    <s v="Pass"/>
    <n v="71.884387290652469"/>
    <n v="2.4787719755397402"/>
    <s v="Road"/>
    <s v="Trans-Eurasian Hub"/>
    <n v="814.06999658218695"/>
    <n v="6583.0010080049933"/>
    <n v="0.88994698089590407"/>
    <n v="6.0736465544914485E-2"/>
    <n v="29"/>
    <n v="0.96666666666666667"/>
    <n v="4070.3499829109346"/>
    <n v="3326.7210216762455"/>
    <n v="0.44973490447952041"/>
  </r>
  <r>
    <x v="2"/>
    <s v="SKU49"/>
    <n v="78.897913205639995"/>
    <n v="7810.8934073583596"/>
    <n v="-190.71979916064083"/>
    <s v="Premium Markup"/>
    <n v="19"/>
    <n v="99"/>
    <n v="8001.6132065190004"/>
    <s v="Unknown"/>
    <n v="97"/>
    <n v="24"/>
    <n v="9"/>
    <n v="6"/>
    <s v="SwiftParcel"/>
    <n v="2.5056210329009101"/>
    <x v="2"/>
    <x v="1"/>
    <n v="13"/>
    <n v="171"/>
    <n v="7"/>
    <n v="59.429381810691503"/>
    <s v="Fail"/>
    <n v="80.759950850271522"/>
    <n v="0.81575707929567198"/>
    <s v="Air"/>
    <s v="Indo-Pacific Corridor"/>
    <n v="123.437027511827"/>
    <n v="7878.1761790071732"/>
    <n v="0.98457348233088027"/>
    <n v="0.34754024450696785"/>
    <n v="19"/>
    <n v="1.0206185567010309"/>
    <n v="617.185137559135"/>
    <n v="7384.4280689598654"/>
    <n v="0.92286741165440145"/>
  </r>
  <r>
    <x v="2"/>
    <s v="SKU50"/>
    <n v="14.203484264803"/>
    <n v="8990.8055396202999"/>
    <n v="3079.9201499514102"/>
    <s v="Discount Applied"/>
    <n v="91"/>
    <n v="633"/>
    <n v="5910.8853896688897"/>
    <s v="Female"/>
    <n v="31"/>
    <n v="23"/>
    <n v="82"/>
    <n v="10"/>
    <s v="GlobalLogix"/>
    <n v="6.2478609149759903"/>
    <x v="4"/>
    <x v="3"/>
    <n v="23"/>
    <n v="370"/>
    <n v="11"/>
    <n v="46.603873381644398"/>
    <s v="Pending"/>
    <n v="1207.5524095960914"/>
    <n v="1.9076657339590699"/>
    <s v="Rail"/>
    <s v="Trans-Eurasian Hub"/>
    <n v="517.49997392906005"/>
    <n v="5393.38541573983"/>
    <n v="0.9124496687359982"/>
    <n v="0.12595641454498485"/>
    <n v="33"/>
    <n v="20.419354838709676"/>
    <n v="2587.4998696453004"/>
    <n v="3323.3855200235894"/>
    <n v="0.56224834367999066"/>
  </r>
  <r>
    <x v="0"/>
    <s v="SKU51"/>
    <n v="26.700760972461701"/>
    <n v="4111.9171897591023"/>
    <n v="-5754.5482682205875"/>
    <s v="Premium Markup"/>
    <n v="61"/>
    <n v="154"/>
    <n v="9866.4654579796897"/>
    <s v="Male"/>
    <n v="100"/>
    <n v="4"/>
    <n v="52"/>
    <n v="1"/>
    <s v="GlobalLogix"/>
    <n v="4.78300055794766"/>
    <x v="2"/>
    <x v="4"/>
    <n v="20"/>
    <n v="306"/>
    <n v="21"/>
    <n v="45.178757924634503"/>
    <s v="Fail"/>
    <n v="732.23932391936171"/>
    <n v="4.7548008046711798"/>
    <s v="Rail"/>
    <s v="Trans-Eurasian Hub"/>
    <n v="496.24865029194001"/>
    <n v="9370.2168076877497"/>
    <n v="0.94970350300161543"/>
    <n v="0.14764299975370754"/>
    <n v="21"/>
    <n v="1.54"/>
    <n v="2481.2432514596999"/>
    <n v="7385.2222065199894"/>
    <n v="0.74851751500807739"/>
  </r>
  <r>
    <x v="1"/>
    <s v="SKU52"/>
    <n v="98.031829656465007"/>
    <n v="80386.100318301309"/>
    <n v="70950.337709389176"/>
    <s v="Discount Applied"/>
    <n v="1"/>
    <n v="820"/>
    <n v="9435.7626089121295"/>
    <s v="Male"/>
    <n v="64"/>
    <n v="11"/>
    <n v="11"/>
    <n v="1"/>
    <s v="TransOceanic"/>
    <n v="8.6310521797689397"/>
    <x v="1"/>
    <x v="1"/>
    <n v="1"/>
    <n v="206"/>
    <n v="23"/>
    <n v="26.2773659573324"/>
    <s v="Pending"/>
    <n v="305.28990974777952"/>
    <n v="0.37230476798509698"/>
    <s v="Air"/>
    <s v="Indo-Pacific Corridor"/>
    <n v="716.04411975933999"/>
    <n v="8719.7184891527904"/>
    <n v="0.92411380516472175"/>
    <n v="0.12756002891908932"/>
    <n v="2"/>
    <n v="12.8125"/>
    <n v="3580.2205987967"/>
    <n v="5855.5420101154295"/>
    <n v="0.6205690258236084"/>
  </r>
  <r>
    <x v="1"/>
    <s v="SKU53"/>
    <n v="30.3414707112142"/>
    <n v="7342.6359121138366"/>
    <n v="-889.69891731198277"/>
    <s v="Premium Markup"/>
    <n v="93"/>
    <n v="242"/>
    <n v="8232.3348294258194"/>
    <s v="Male"/>
    <n v="96"/>
    <n v="25"/>
    <n v="54"/>
    <n v="3"/>
    <s v="TransOceanic"/>
    <n v="1.0134865660958901"/>
    <x v="1"/>
    <x v="3"/>
    <n v="18"/>
    <n v="793"/>
    <n v="1"/>
    <n v="88.179407104217404"/>
    <s v="Pending"/>
    <n v="1019.6112022019474"/>
    <n v="4.2132694305865597"/>
    <s v="Road"/>
    <s v="Indo-Pacific Corridor"/>
    <n v="529.80872398069096"/>
    <n v="7702.5261054451285"/>
    <n v="0.93564295731911529"/>
    <n v="0.11119723468375461"/>
    <n v="21"/>
    <n v="2.5208333333333335"/>
    <n v="2649.0436199034548"/>
    <n v="5583.2912095223646"/>
    <n v="0.67821478659557666"/>
  </r>
  <r>
    <x v="0"/>
    <s v="SKU54"/>
    <n v="31.1462431602408"/>
    <n v="19372.963245669776"/>
    <n v="13284.941765728927"/>
    <s v="Discount Applied"/>
    <n v="11"/>
    <n v="622"/>
    <n v="6088.0214799408504"/>
    <s v="Non-binary"/>
    <n v="33"/>
    <n v="22"/>
    <n v="61"/>
    <n v="3"/>
    <s v="TransOceanic"/>
    <n v="4.3051034712876302"/>
    <x v="1"/>
    <x v="4"/>
    <n v="1"/>
    <n v="919"/>
    <n v="9"/>
    <n v="80.580852156447804"/>
    <s v="Fail"/>
    <n v="246.69311439637954"/>
    <n v="0.39661272410993498"/>
    <s v="Rail"/>
    <s v="Indo-Pacific Corridor"/>
    <n v="341.55265678322297"/>
    <n v="5746.4688231576274"/>
    <n v="0.94389759334644441"/>
    <n v="8.7683190594611327E-2"/>
    <n v="4"/>
    <n v="18.848484848484848"/>
    <n v="1707.7632839161149"/>
    <n v="4380.2581960247353"/>
    <n v="0.71948796673222193"/>
  </r>
  <r>
    <x v="0"/>
    <s v="SKU55"/>
    <n v="79.855058340789398"/>
    <n v="55978.395896893366"/>
    <n v="53052.720726589556"/>
    <s v="Discount Applied"/>
    <n v="16"/>
    <n v="701"/>
    <n v="2925.6751703038099"/>
    <s v="Male"/>
    <n v="97"/>
    <n v="11"/>
    <n v="11"/>
    <n v="5"/>
    <s v="GlobalLogix"/>
    <n v="5.0143649550309002"/>
    <x v="4"/>
    <x v="2"/>
    <n v="18"/>
    <n v="892"/>
    <n v="7"/>
    <n v="95.332064548772493"/>
    <s v="Fail"/>
    <n v="31.756885941179981"/>
    <n v="4.5302262398259602E-2"/>
    <s v="Sea"/>
    <s v="Indo-Pacific Corridor"/>
    <n v="275.52437113130901"/>
    <n v="2650.1507991725007"/>
    <n v="0.90582537189092727"/>
    <n v="0.10687451182597812"/>
    <n v="23"/>
    <n v="7.2268041237113403"/>
    <n v="1377.621855656545"/>
    <n v="1548.0533146472649"/>
    <n v="0.52912685945463689"/>
  </r>
  <r>
    <x v="1"/>
    <s v="SKU56"/>
    <n v="20.9863860370433"/>
    <n v="1951.733901445027"/>
    <n v="-2815.2865828991025"/>
    <s v="Premium Markup"/>
    <n v="90"/>
    <n v="93"/>
    <n v="4767.0204843441297"/>
    <s v="Non-binary"/>
    <n v="25"/>
    <n v="23"/>
    <n v="83"/>
    <n v="5"/>
    <s v="SwiftParcel"/>
    <n v="1.77442971407173"/>
    <x v="1"/>
    <x v="0"/>
    <n v="14"/>
    <n v="580"/>
    <n v="7"/>
    <n v="97.121281751474299"/>
    <s v="Pass"/>
    <n v="210.58973579146425"/>
    <n v="2.2644057611985402"/>
    <s v="Sea"/>
    <s v="Trans-Eurasian Hub"/>
    <n v="127.861800001625"/>
    <n v="4639.1586843425048"/>
    <n v="0.97317783709519412"/>
    <n v="0.16745048577840396"/>
    <n v="19"/>
    <n v="3.72"/>
    <n v="639.30900000812494"/>
    <n v="4127.711484336005"/>
    <n v="0.86588918547597049"/>
  </r>
  <r>
    <x v="0"/>
    <s v="SKU57"/>
    <n v="49.263205350734097"/>
    <n v="11182.747614616641"/>
    <n v="9576.8807142242404"/>
    <s v="Discount Applied"/>
    <n v="65"/>
    <n v="227"/>
    <n v="1605.8669003924001"/>
    <s v="Unknown"/>
    <n v="5"/>
    <n v="18"/>
    <n v="51"/>
    <n v="1"/>
    <s v="TransOceanic"/>
    <n v="9.1605585353818704"/>
    <x v="4"/>
    <x v="0"/>
    <n v="25"/>
    <n v="985"/>
    <n v="24"/>
    <n v="64.323597795600193"/>
    <s v="Pending"/>
    <n v="494.86850150916166"/>
    <n v="2.1800374515822099"/>
    <s v="Rail"/>
    <s v="Indo-Pacific Corridor"/>
    <n v="997.41345013319403"/>
    <n v="608.45345025920608"/>
    <n v="0.3788940727967729"/>
    <n v="6.530314497015248E-2"/>
    <n v="26"/>
    <n v="45.4"/>
    <n v="4987.0672506659703"/>
    <n v="-3381.2003502735702"/>
    <n v="-2.1055296360161355"/>
  </r>
  <r>
    <x v="1"/>
    <s v="SKU58"/>
    <n v="59.841561377289302"/>
    <n v="53618.038994051218"/>
    <n v="51596.88918371412"/>
    <s v="Discount Applied"/>
    <n v="81"/>
    <n v="896"/>
    <n v="2021.1498103371"/>
    <s v="Non-binary"/>
    <n v="10"/>
    <n v="5"/>
    <n v="44"/>
    <n v="7"/>
    <s v="GlobalLogix"/>
    <n v="4.9384385647120901"/>
    <x v="0"/>
    <x v="2"/>
    <n v="25"/>
    <n v="794"/>
    <n v="25"/>
    <n v="66.312544439991598"/>
    <s v="Pass"/>
    <n v="2884.7657324273537"/>
    <n v="3.2196046120841002"/>
    <s v="Rail"/>
    <s v="Indo-Pacific Corridor"/>
    <n v="495.30569702847299"/>
    <n v="1525.8441133086271"/>
    <n v="0.75493865200132659"/>
    <n v="8.35170584886544E-2"/>
    <n v="32"/>
    <n v="89.6"/>
    <n v="2476.5284851423648"/>
    <n v="-455.37867480526484"/>
    <n v="-0.22530673999336739"/>
  </r>
  <r>
    <x v="2"/>
    <s v="SKU59"/>
    <n v="63.828398347710902"/>
    <n v="30892.944800292076"/>
    <n v="29831.326277278797"/>
    <s v="Discount Applied"/>
    <n v="30"/>
    <n v="484"/>
    <n v="1061.6185230132801"/>
    <s v="Non-binary"/>
    <n v="100"/>
    <n v="16"/>
    <n v="26"/>
    <n v="7"/>
    <s v="TransOceanic"/>
    <n v="7.2937225968677204"/>
    <x v="1"/>
    <x v="2"/>
    <n v="1"/>
    <n v="251"/>
    <n v="23"/>
    <n v="23.853427512896101"/>
    <s v="Fail"/>
    <n v="1713.8662699294453"/>
    <n v="3.54104601225092"/>
    <s v="Sea"/>
    <s v="Indo-Pacific Corridor"/>
    <n v="371.25529551987103"/>
    <n v="690.36322749340911"/>
    <n v="0.65029312557009067"/>
    <n v="9.5033575748590046E-2"/>
    <n v="8"/>
    <n v="4.84"/>
    <n v="1856.2764775993551"/>
    <n v="-794.65795458607499"/>
    <n v="-0.74853437214954699"/>
  </r>
  <r>
    <x v="1"/>
    <s v="SKU60"/>
    <n v="17.028027920188698"/>
    <n v="6470.6506096717058"/>
    <n v="-2393.4337399147244"/>
    <s v="Premium Markup"/>
    <n v="16"/>
    <n v="380"/>
    <n v="8864.0843495864301"/>
    <s v="Female"/>
    <n v="41"/>
    <n v="27"/>
    <n v="72"/>
    <n v="8"/>
    <s v="SwiftParcel"/>
    <n v="4.3813681581023101"/>
    <x v="3"/>
    <x v="2"/>
    <n v="27"/>
    <n v="523"/>
    <n v="17"/>
    <n v="28.696996824143099"/>
    <s v="Fail"/>
    <n v="1403.6203593789226"/>
    <n v="3.6937377878392699"/>
    <s v="Sea"/>
    <s v="Trans-Eurasian Hub"/>
    <n v="879.35921773492396"/>
    <n v="7984.7251318515064"/>
    <n v="0.90079525610832534"/>
    <n v="5.4869974807156975E-2"/>
    <n v="35"/>
    <n v="9.2682926829268286"/>
    <n v="4396.7960886746196"/>
    <n v="4467.2882609118105"/>
    <n v="0.50397628054162635"/>
  </r>
  <r>
    <x v="0"/>
    <s v="SKU61"/>
    <n v="52.028749903294901"/>
    <n v="6087.3637386855034"/>
    <n v="-798.22561221074648"/>
    <s v="Premium Markup"/>
    <n v="23"/>
    <n v="117"/>
    <n v="6885.5893508962499"/>
    <s v="Unknown"/>
    <n v="32"/>
    <n v="23"/>
    <n v="36"/>
    <n v="7"/>
    <s v="SwiftParcel"/>
    <n v="9.0303404225219399"/>
    <x v="3"/>
    <x v="2"/>
    <n v="29"/>
    <n v="963"/>
    <n v="23"/>
    <n v="47.957601634951502"/>
    <s v="Pending"/>
    <n v="449.81989401580682"/>
    <n v="3.8446144787675798"/>
    <s v="Rail"/>
    <s v="Trans-Eurasian Hub"/>
    <n v="995.92946149864099"/>
    <n v="5889.6598893976088"/>
    <n v="0.85536031692494008"/>
    <n v="4.9800209382088789E-2"/>
    <n v="36"/>
    <n v="3.65625"/>
    <n v="4979.6473074932046"/>
    <n v="1905.9420434030453"/>
    <n v="0.27680158462470056"/>
  </r>
  <r>
    <x v="2"/>
    <s v="SKU62"/>
    <n v="72.796353955587307"/>
    <n v="19655.015568008574"/>
    <n v="15755.268734279354"/>
    <s v="Discount Applied"/>
    <n v="89"/>
    <n v="270"/>
    <n v="3899.7468337292198"/>
    <s v="Unknown"/>
    <n v="86"/>
    <n v="2"/>
    <n v="40"/>
    <n v="7"/>
    <s v="SwiftParcel"/>
    <n v="7.2917013887767697"/>
    <x v="4"/>
    <x v="1"/>
    <n v="24"/>
    <n v="826"/>
    <n v="28"/>
    <n v="12.8362845728327"/>
    <s v="Pass"/>
    <n v="316.91398375461154"/>
    <n v="1.1737554953874501"/>
    <s v="Air"/>
    <s v="Trans-Eurasian Hub"/>
    <n v="832.210808706021"/>
    <n v="3067.5360250231988"/>
    <n v="0.7865987603328084"/>
    <n v="1.5540296093017795E-2"/>
    <n v="31"/>
    <n v="3.13953488372093"/>
    <n v="4161.0540435301045"/>
    <n v="-261.30720980088472"/>
    <n v="-6.7006198335958098E-2"/>
  </r>
  <r>
    <x v="1"/>
    <s v="SKU63"/>
    <n v="13.0173767852878"/>
    <n v="3202.2746891807988"/>
    <n v="-1054.6744516694212"/>
    <s v="Premium Markup"/>
    <n v="55"/>
    <n v="246"/>
    <n v="4256.9491408502199"/>
    <s v="Non-binary"/>
    <n v="54"/>
    <n v="19"/>
    <n v="10"/>
    <n v="4"/>
    <s v="GlobalLogix"/>
    <n v="2.45793352798733"/>
    <x v="0"/>
    <x v="2"/>
    <n v="21"/>
    <n v="824"/>
    <n v="20"/>
    <n v="35.633652343343797"/>
    <s v="Fail"/>
    <n v="1024.7823216743384"/>
    <n v="4.1657817954241398"/>
    <s v="Air"/>
    <s v="Indo-Pacific Corridor"/>
    <n v="823.52384588815505"/>
    <n v="3433.425294962065"/>
    <n v="0.80654599840399399"/>
    <n v="4.3244723717650237E-2"/>
    <n v="25"/>
    <n v="4.5555555555555554"/>
    <n v="4117.6192294407756"/>
    <n v="139.32991140944432"/>
    <n v="3.2729992019969643E-2"/>
  </r>
  <r>
    <x v="1"/>
    <s v="SKU64"/>
    <n v="89.634095608135297"/>
    <n v="12010.968811490129"/>
    <n v="3552.2379331229586"/>
    <s v="Discount Applied"/>
    <n v="11"/>
    <n v="134"/>
    <n v="8458.7308783671706"/>
    <s v="Female"/>
    <n v="73"/>
    <n v="27"/>
    <n v="75"/>
    <n v="6"/>
    <s v="SwiftParcel"/>
    <n v="4.5853534681946497"/>
    <x v="1"/>
    <x v="4"/>
    <n v="28"/>
    <n v="698"/>
    <n v="1"/>
    <n v="19.789592941903599"/>
    <s v="Pending"/>
    <n v="341.37131428752713"/>
    <n v="2.54754712154871"/>
    <s v="Rail"/>
    <s v="Trans-Eurasian Hub"/>
    <n v="276.77833594679799"/>
    <n v="8181.952542420373"/>
    <n v="0.96727897601581747"/>
    <n v="2.8351852352297421E-2"/>
    <n v="34"/>
    <n v="1.8356164383561644"/>
    <n v="1383.89167973399"/>
    <n v="7074.8391986331808"/>
    <n v="0.83639488007908713"/>
  </r>
  <r>
    <x v="1"/>
    <s v="SKU65"/>
    <n v="33.697717206643098"/>
    <n v="15399.856763435895"/>
    <n v="7045.2770769539056"/>
    <s v="Discount Applied"/>
    <n v="72"/>
    <n v="457"/>
    <n v="8354.5796864819895"/>
    <s v="Male"/>
    <n v="57"/>
    <n v="24"/>
    <n v="54"/>
    <n v="8"/>
    <s v="SwiftParcel"/>
    <n v="6.5805413478845898"/>
    <x v="2"/>
    <x v="1"/>
    <n v="10"/>
    <n v="535"/>
    <n v="13"/>
    <n v="65.765155926367399"/>
    <s v="Fail"/>
    <n v="1542.9406904661168"/>
    <n v="3.3762378347179798"/>
    <s v="Road"/>
    <s v="Indo-Pacific Corridor"/>
    <n v="540.13242286796697"/>
    <n v="7814.4472636140226"/>
    <n v="0.93534894116314182"/>
    <n v="0.12292552509601383"/>
    <n v="18"/>
    <n v="8.0175438596491233"/>
    <n v="2700.6621143398347"/>
    <n v="5653.9175721421543"/>
    <n v="0.67674470581570922"/>
  </r>
  <r>
    <x v="1"/>
    <s v="SKU66"/>
    <n v="26.034869773962001"/>
    <n v="18328.548320869249"/>
    <n v="9960.8267028490991"/>
    <s v="Discount Applied"/>
    <n v="52"/>
    <n v="704"/>
    <n v="8367.7216180201503"/>
    <s v="Female"/>
    <n v="13"/>
    <n v="17"/>
    <n v="19"/>
    <n v="8"/>
    <s v="GlobalLogix"/>
    <n v="2.2161427287713602"/>
    <x v="2"/>
    <x v="0"/>
    <n v="18"/>
    <n v="736"/>
    <n v="10"/>
    <n v="20.075003975630398"/>
    <s v="Pending"/>
    <n v="2557.5216764290199"/>
    <n v="3.6328432903821302"/>
    <s v="Sea"/>
    <s v="Indo-Pacific Corridor"/>
    <n v="687.28617786641701"/>
    <n v="7680.435440153733"/>
    <n v="0.91786459812593135"/>
    <n v="2.727582061906304E-2"/>
    <n v="26"/>
    <n v="54.153846153846153"/>
    <n v="3436.4308893320849"/>
    <n v="4931.2907286880654"/>
    <n v="0.58932299062965676"/>
  </r>
  <r>
    <x v="1"/>
    <s v="SKU67"/>
    <n v="87.755432354001002"/>
    <n v="45018.536797602515"/>
    <n v="35544.738765094182"/>
    <s v="Discount Applied"/>
    <n v="16"/>
    <n v="513"/>
    <n v="9473.7980325083299"/>
    <s v="Unknown"/>
    <n v="12"/>
    <n v="9"/>
    <n v="71"/>
    <n v="9"/>
    <s v="SwiftParcel"/>
    <n v="9.1478115447106294"/>
    <x v="1"/>
    <x v="0"/>
    <n v="23"/>
    <n v="173"/>
    <n v="10"/>
    <n v="97.829050110173199"/>
    <s v="Pending"/>
    <n v="836.74108002669482"/>
    <n v="1.63107423007153"/>
    <s v="Road"/>
    <s v="Trans-Eurasian Hub"/>
    <n v="547.24100516096803"/>
    <n v="8926.5570273473622"/>
    <n v="0.94223636568109559"/>
    <n v="0.56548583878712833"/>
    <n v="32"/>
    <n v="42.75"/>
    <n v="2736.2050258048403"/>
    <n v="6737.5930067034897"/>
    <n v="0.7111818284054775"/>
  </r>
  <r>
    <x v="0"/>
    <s v="SKU68"/>
    <n v="37.931812382790298"/>
    <n v="6182.8854183948188"/>
    <n v="2632.6669856138287"/>
    <s v="Discount Applied"/>
    <n v="29"/>
    <n v="163"/>
    <n v="3550.21843278099"/>
    <s v="Non-binary"/>
    <n v="0"/>
    <n v="8"/>
    <n v="58"/>
    <n v="8"/>
    <s v="TransOceanic"/>
    <n v="1.19425186488499"/>
    <x v="4"/>
    <x v="1"/>
    <n v="13"/>
    <n v="751"/>
    <n v="14"/>
    <n v="21.048642725168602"/>
    <s v="Pass"/>
    <n v="305.46222885923231"/>
    <n v="1.87400140404437"/>
    <s v="Sea"/>
    <s v="Americas Gateway"/>
    <n v="320.84651575911101"/>
    <n v="3229.3719170218792"/>
    <n v="0.90962626051496709"/>
    <n v="2.8027486984245807E-2"/>
    <n v="21"/>
    <e v="#DIV/0!"/>
    <n v="1604.2325787955551"/>
    <n v="1945.9858539854349"/>
    <n v="0.54813130257483544"/>
  </r>
  <r>
    <x v="1"/>
    <s v="SKU69"/>
    <n v="54.865528517069698"/>
    <n v="28036.285072222618"/>
    <n v="26283.903984738499"/>
    <s v="Discount Applied"/>
    <n v="62"/>
    <n v="511"/>
    <n v="1752.3810874841199"/>
    <s v="Non-binary"/>
    <n v="95"/>
    <n v="1"/>
    <n v="27"/>
    <n v="3"/>
    <s v="TransOceanic"/>
    <n v="9.7052867901203399"/>
    <x v="3"/>
    <x v="0"/>
    <n v="26"/>
    <n v="171"/>
    <n v="4"/>
    <n v="15.972229757181699"/>
    <s v="Pass"/>
    <n v="1082.9723854664342"/>
    <n v="2.1193197367249201"/>
    <s v="Rail"/>
    <s v="Indo-Pacific Corridor"/>
    <n v="617.86691645837698"/>
    <n v="1134.5141710257431"/>
    <n v="0.64741292811745432"/>
    <n v="9.3404852381179529E-2"/>
    <n v="29"/>
    <n v="5.3789473684210529"/>
    <n v="3089.334582291885"/>
    <n v="-1336.9534948077651"/>
    <n v="-0.7629353594127285"/>
  </r>
  <r>
    <x v="0"/>
    <s v="SKU70"/>
    <n v="47.914541824058702"/>
    <n v="1533.2653383698785"/>
    <n v="-5481.6226488335014"/>
    <s v="Premium Markup"/>
    <n v="90"/>
    <n v="32"/>
    <n v="7014.8879872033804"/>
    <s v="Female"/>
    <n v="10"/>
    <n v="12"/>
    <n v="22"/>
    <n v="4"/>
    <s v="TransOceanic"/>
    <n v="6.3157177546007199"/>
    <x v="1"/>
    <x v="0"/>
    <n v="2"/>
    <n v="375"/>
    <n v="18"/>
    <n v="97.113581563462205"/>
    <s v="Fail"/>
    <n v="63.470971909573763"/>
    <n v="1.9834678721741801"/>
    <s v="Rail"/>
    <s v="Indo-Pacific Corridor"/>
    <n v="299.70630311810299"/>
    <n v="6715.1816840852771"/>
    <n v="0.95727568228247828"/>
    <n v="0.25896955083589923"/>
    <n v="6"/>
    <n v="3.2"/>
    <n v="1498.531515590515"/>
    <n v="5516.3564716128658"/>
    <n v="0.78637841141239195"/>
  </r>
  <r>
    <x v="2"/>
    <s v="SKU71"/>
    <n v="6.3815331627479601"/>
    <n v="4065.0366246704507"/>
    <n v="-4115.3004607549892"/>
    <s v="Premium Markup"/>
    <n v="14"/>
    <n v="637"/>
    <n v="8180.3370854254399"/>
    <s v="Female"/>
    <n v="76"/>
    <n v="2"/>
    <n v="26"/>
    <n v="6"/>
    <s v="GlobalLogix"/>
    <n v="9.2281903170525101"/>
    <x v="4"/>
    <x v="1"/>
    <n v="6"/>
    <n v="955"/>
    <n v="26"/>
    <n v="4.4652784349432402"/>
    <s v="Pending"/>
    <n v="2635.8276799724372"/>
    <n v="4.1378770486223502"/>
    <s v="Road"/>
    <s v="Americas Gateway"/>
    <n v="589.97855562804"/>
    <n v="7590.3585297973996"/>
    <n v="0.92787845421685855"/>
    <n v="4.6756842250714557E-3"/>
    <n v="12"/>
    <n v="8.3815789473684212"/>
    <n v="2949.8927781401999"/>
    <n v="5230.44430728524"/>
    <n v="0.6393922710842932"/>
  </r>
  <r>
    <x v="2"/>
    <s v="SKU72"/>
    <n v="90.204427520528"/>
    <n v="43117.716354812386"/>
    <n v="40484.594373500135"/>
    <s v="Discount Applied"/>
    <n v="88"/>
    <n v="478"/>
    <n v="2633.1219813122498"/>
    <s v="Non-binary"/>
    <n v="57"/>
    <n v="29"/>
    <n v="77"/>
    <n v="9"/>
    <s v="GlobalLogix"/>
    <n v="6.5996141596895397"/>
    <x v="1"/>
    <x v="4"/>
    <n v="27"/>
    <n v="918"/>
    <n v="5"/>
    <n v="30.323545256616502"/>
    <s v="Fail"/>
    <n v="2174.3835971914696"/>
    <n v="4.5489196593963799"/>
    <s v="Sea"/>
    <s v="Trans-Eurasian Hub"/>
    <n v="323.01292795247798"/>
    <n v="2310.1090533597717"/>
    <n v="0.87732701703720517"/>
    <n v="3.3032184375399239E-2"/>
    <n v="36"/>
    <n v="8.3859649122807021"/>
    <n v="1615.06463976239"/>
    <n v="1018.0573415498598"/>
    <n v="0.38663508518602618"/>
  </r>
  <r>
    <x v="2"/>
    <s v="SKU73"/>
    <n v="83.851017681304597"/>
    <n v="31444.131630489224"/>
    <n v="23533.244714348544"/>
    <s v="Discount Applied"/>
    <n v="41"/>
    <n v="375"/>
    <n v="7910.8869161406801"/>
    <s v="Male"/>
    <n v="17"/>
    <n v="25"/>
    <n v="66"/>
    <n v="5"/>
    <s v="TransOceanic"/>
    <n v="1.5129368369160701"/>
    <x v="3"/>
    <x v="3"/>
    <n v="3"/>
    <n v="563"/>
    <n v="3"/>
    <n v="32.321286213424003"/>
    <s v="Fail"/>
    <n v="810.47015533346621"/>
    <n v="2.1612537475559099"/>
    <s v="Road"/>
    <s v="Trans-Eurasian Hub"/>
    <n v="402.96878907376998"/>
    <n v="7507.9181270669105"/>
    <n v="0.94906149040614052"/>
    <n v="5.740903412686324E-2"/>
    <n v="8"/>
    <n v="22.058823529411764"/>
    <n v="2014.84394536885"/>
    <n v="5896.0429707718304"/>
    <n v="0.74530745203070226"/>
  </r>
  <r>
    <x v="0"/>
    <s v="SKU74"/>
    <n v="3.1700114135661499"/>
    <n v="2865.6903178637995"/>
    <n v="-2844.2549781054804"/>
    <s v="Premium Markup"/>
    <n v="64"/>
    <n v="904"/>
    <n v="5709.9452959692799"/>
    <s v="Female"/>
    <n v="41"/>
    <n v="6"/>
    <n v="1"/>
    <n v="5"/>
    <s v="GlobalLogix"/>
    <n v="5.2376546500374399"/>
    <x v="3"/>
    <x v="0"/>
    <n v="10"/>
    <n v="104"/>
    <n v="17"/>
    <n v="56.766475557431797"/>
    <s v="Fail"/>
    <n v="2512.3909344603285"/>
    <n v="2.7791935115711599"/>
    <s v="Road"/>
    <s v="Indo-Pacific Corridor"/>
    <n v="235.461236735537"/>
    <n v="5474.4840592337432"/>
    <n v="0.9587629610214039"/>
    <n v="0.54583149574453649"/>
    <n v="15"/>
    <n v="22.048780487804876"/>
    <n v="1177.3061836776851"/>
    <n v="4532.6391122915948"/>
    <n v="0.79381480510701918"/>
  </r>
  <r>
    <x v="1"/>
    <s v="SKU75"/>
    <n v="92.996884233970604"/>
    <n v="9857.6697288008836"/>
    <n v="7968.5961390215534"/>
    <s v="Discount Applied"/>
    <n v="29"/>
    <n v="106"/>
    <n v="1889.07358977933"/>
    <s v="Non-binary"/>
    <n v="16"/>
    <n v="20"/>
    <n v="56"/>
    <n v="10"/>
    <s v="SwiftParcel"/>
    <n v="2.47389776104546"/>
    <x v="1"/>
    <x v="3"/>
    <n v="27"/>
    <n v="806"/>
    <n v="30"/>
    <n v="51.634893400109299"/>
    <s v="Pending"/>
    <n v="102.33183876735366"/>
    <n v="0.96539470535239302"/>
    <s v="Road"/>
    <s v="Americas Gateway"/>
    <n v="880.08098824716103"/>
    <n v="1008.9926015321689"/>
    <n v="0.53412032595830916"/>
    <n v="6.4063143176314272E-2"/>
    <n v="37"/>
    <n v="6.625"/>
    <n v="4400.4049412358054"/>
    <n v="-2511.3313514564752"/>
    <n v="-1.3293983702084542"/>
  </r>
  <r>
    <x v="0"/>
    <s v="SKU76"/>
    <n v="69.108799547430294"/>
    <n v="16655.220690930702"/>
    <n v="11326.844706632954"/>
    <s v="Discount Applied"/>
    <n v="23"/>
    <n v="241"/>
    <n v="5328.3759842977497"/>
    <s v="Male"/>
    <n v="38"/>
    <n v="1"/>
    <n v="22"/>
    <n v="10"/>
    <s v="GlobalLogix"/>
    <n v="7.0545383368369201"/>
    <x v="4"/>
    <x v="1"/>
    <n v="25"/>
    <n v="291"/>
    <n v="4"/>
    <n v="10.5282450700421"/>
    <s v="Fail"/>
    <n v="690.38494892989218"/>
    <n v="2.8646678378833701"/>
    <s v="Sea"/>
    <s v="Trans-Eurasian Hub"/>
    <n v="762.45918215568304"/>
    <n v="4565.9168021420664"/>
    <n v="0.85690589695573616"/>
    <n v="3.6179536323168726E-2"/>
    <n v="35"/>
    <n v="6.3421052631578947"/>
    <n v="3812.2959107784154"/>
    <n v="1516.0800735193343"/>
    <n v="0.28452948477868067"/>
  </r>
  <r>
    <x v="0"/>
    <s v="SKU77"/>
    <n v="57.449742958971399"/>
    <n v="20624.457722270734"/>
    <n v="18140.697544727944"/>
    <s v="Discount Applied"/>
    <n v="14"/>
    <n v="359"/>
    <n v="2483.7601775427902"/>
    <s v="Unknown"/>
    <n v="96"/>
    <n v="28"/>
    <n v="57"/>
    <n v="4"/>
    <s v="TransOceanic"/>
    <n v="6.7809466256178901"/>
    <x v="1"/>
    <x v="4"/>
    <n v="5"/>
    <n v="414"/>
    <n v="3"/>
    <n v="92.065160598712794"/>
    <s v="Fail"/>
    <n v="1129.263048697047"/>
    <n v="3.1455795228330001"/>
    <s v="Air"/>
    <s v="Indo-Pacific Corridor"/>
    <n v="923.44063171192204"/>
    <n v="1560.3195458308683"/>
    <n v="0.62820861689412733"/>
    <n v="0.22237961497273623"/>
    <n v="9"/>
    <n v="3.7395833333333335"/>
    <n v="4617.2031585596105"/>
    <n v="-2133.4429810168203"/>
    <n v="-0.85895691552936393"/>
  </r>
  <r>
    <x v="0"/>
    <s v="SKU78"/>
    <n v="6.30688317611191"/>
    <n v="5966.3114846018671"/>
    <n v="4673.8530666641173"/>
    <s v="Discount Applied"/>
    <n v="50"/>
    <n v="946"/>
    <n v="1292.45841793775"/>
    <s v="Unknown"/>
    <n v="5"/>
    <n v="4"/>
    <n v="51"/>
    <n v="5"/>
    <s v="TransOceanic"/>
    <n v="8.4670497708619905"/>
    <x v="2"/>
    <x v="2"/>
    <n v="7"/>
    <n v="453"/>
    <n v="16"/>
    <n v="47.679680368355299"/>
    <s v="Fail"/>
    <n v="96.511634152594496"/>
    <n v="0.102020754918176"/>
    <s v="Air"/>
    <s v="Americas Gateway"/>
    <n v="670.93439079241"/>
    <n v="621.52402714534003"/>
    <n v="0.48088512444140785"/>
    <n v="0.10525315754603819"/>
    <n v="12"/>
    <n v="189.2"/>
    <n v="3354.6719539620499"/>
    <n v="-2062.2135360243001"/>
    <n v="-1.595574377792961"/>
  </r>
  <r>
    <x v="0"/>
    <s v="SKU79"/>
    <n v="57.057031221103202"/>
    <n v="11297.292181778434"/>
    <n v="3408.5689133513533"/>
    <s v="Discount Applied"/>
    <n v="56"/>
    <n v="198"/>
    <n v="7888.7232684270803"/>
    <s v="Non-binary"/>
    <n v="31"/>
    <n v="25"/>
    <n v="20"/>
    <n v="1"/>
    <s v="TransOceanic"/>
    <n v="6.49632536429504"/>
    <x v="0"/>
    <x v="0"/>
    <n v="21"/>
    <n v="152"/>
    <n v="11"/>
    <n v="55.760492895244198"/>
    <s v="Pending"/>
    <n v="636.23926227278344"/>
    <n v="3.2133296074383"/>
    <s v="Rail"/>
    <s v="Trans-Eurasian Hub"/>
    <n v="677.94456984618296"/>
    <n v="7210.7786985808971"/>
    <n v="0.91406156018179641"/>
    <n v="0.3668453479950276"/>
    <n v="22"/>
    <n v="6.387096774193548"/>
    <n v="3389.722849230915"/>
    <n v="4499.0004191961652"/>
    <n v="0.57030780090898203"/>
  </r>
  <r>
    <x v="1"/>
    <s v="SKU80"/>
    <n v="91.128318350444303"/>
    <n v="79463.893601587435"/>
    <n v="70812.220918605381"/>
    <s v="Discount Applied"/>
    <n v="75"/>
    <n v="872"/>
    <n v="8651.67268298206"/>
    <s v="Unknown"/>
    <n v="39"/>
    <n v="14"/>
    <n v="41"/>
    <n v="2"/>
    <s v="SwiftParcel"/>
    <n v="2.8331846794189701"/>
    <x v="0"/>
    <x v="2"/>
    <n v="18"/>
    <n v="870"/>
    <n v="23"/>
    <n v="77.322353211051606"/>
    <s v="Pending"/>
    <n v="3181.5884366915661"/>
    <n v="3.6486105925361998"/>
    <s v="Road"/>
    <s v="Trans-Eurasian Hub"/>
    <n v="380.43593711196399"/>
    <n v="8271.2367458700955"/>
    <n v="0.95602746994112642"/>
    <n v="8.8876268058680014E-2"/>
    <n v="20"/>
    <n v="22.358974358974358"/>
    <n v="1902.17968555982"/>
    <n v="6749.4929974222396"/>
    <n v="0.78013734970563209"/>
  </r>
  <r>
    <x v="0"/>
    <s v="SKU81"/>
    <n v="72.819206930318202"/>
    <n v="56362.066164066287"/>
    <n v="51977.652764020429"/>
    <s v="Discount Applied"/>
    <n v="9"/>
    <n v="774"/>
    <n v="4384.4134000458598"/>
    <s v="Unknown"/>
    <n v="48"/>
    <n v="6"/>
    <n v="8"/>
    <n v="5"/>
    <s v="TransOceanic"/>
    <n v="4.0662775015120403"/>
    <x v="0"/>
    <x v="2"/>
    <n v="20"/>
    <n v="694"/>
    <n v="16"/>
    <n v="82.373320587990193"/>
    <s v="Fail"/>
    <n v="2822.3529698327734"/>
    <n v="3.64645086541702"/>
    <s v="Road"/>
    <s v="Americas Gateway"/>
    <n v="477.30763109090299"/>
    <n v="3907.1057689549571"/>
    <n v="0.8911353498085034"/>
    <n v="0.11869354551583601"/>
    <n v="25"/>
    <n v="16.125"/>
    <n v="2386.5381554545147"/>
    <n v="1997.8752445913451"/>
    <n v="0.45567674904251682"/>
  </r>
  <r>
    <x v="1"/>
    <s v="SKU82"/>
    <n v="17.034930739467899"/>
    <n v="5723.7367284612146"/>
    <n v="2780.3548608517644"/>
    <s v="Discount Applied"/>
    <n v="13"/>
    <n v="336"/>
    <n v="2943.3818676094502"/>
    <s v="Unknown"/>
    <n v="42"/>
    <n v="19"/>
    <n v="72"/>
    <n v="1"/>
    <s v="GlobalLogix"/>
    <n v="4.7081818735419301"/>
    <x v="4"/>
    <x v="3"/>
    <n v="26"/>
    <n v="334"/>
    <n v="5"/>
    <n v="42.952444748991802"/>
    <s v="Pass"/>
    <n v="1026.5276509513333"/>
    <n v="3.0551418183075398"/>
    <s v="Road"/>
    <s v="Trans-Eurasian Hub"/>
    <n v="852.56809891984994"/>
    <n v="2090.8137686896002"/>
    <n v="0.71034404053990896"/>
    <n v="0.12860013397901737"/>
    <n v="27"/>
    <n v="8"/>
    <n v="4262.8404945992497"/>
    <n v="-1319.4586269897995"/>
    <n v="-0.4482797973004552"/>
  </r>
  <r>
    <x v="0"/>
    <s v="SKU83"/>
    <n v="68.911246211606297"/>
    <n v="45688.156238294978"/>
    <n v="43276.401606184489"/>
    <s v="Discount Applied"/>
    <n v="82"/>
    <n v="663"/>
    <n v="2411.7546321104901"/>
    <s v="Unknown"/>
    <n v="65"/>
    <n v="24"/>
    <n v="7"/>
    <n v="8"/>
    <s v="TransOceanic"/>
    <n v="4.94983957799694"/>
    <x v="1"/>
    <x v="3"/>
    <n v="24"/>
    <n v="867"/>
    <n v="15"/>
    <n v="34.343277465075303"/>
    <s v="Pending"/>
    <n v="1730.6210002542969"/>
    <n v="2.61028808484811"/>
    <s v="Sea"/>
    <s v="Indo-Pacific Corridor"/>
    <n v="183.932968043594"/>
    <n v="2227.8216640668961"/>
    <n v="0.92373479225677402"/>
    <n v="3.9611623373789276E-2"/>
    <n v="32"/>
    <n v="10.199999999999999"/>
    <n v="919.66484021796998"/>
    <n v="1492.0897918925202"/>
    <n v="0.61867396128387031"/>
  </r>
  <r>
    <x v="0"/>
    <s v="SKU84"/>
    <n v="89.104367292102197"/>
    <n v="55066.49898651916"/>
    <n v="53018.208886670451"/>
    <s v="Discount Applied"/>
    <n v="99"/>
    <n v="618"/>
    <n v="2048.2900998487098"/>
    <s v="Unknown"/>
    <n v="73"/>
    <n v="26"/>
    <n v="80"/>
    <n v="10"/>
    <s v="GlobalLogix"/>
    <n v="8.3816156249226292"/>
    <x v="2"/>
    <x v="3"/>
    <n v="22"/>
    <n v="780"/>
    <n v="28"/>
    <n v="50.120839612977299"/>
    <s v="Fail"/>
    <n v="1601.4082424444659"/>
    <n v="2.5912754732111098"/>
    <s v="Rail"/>
    <s v="Americas Gateway"/>
    <n v="205.57199582694699"/>
    <n v="1842.7181040217629"/>
    <n v="0.89963726532578037"/>
    <n v="6.4257486683304235E-2"/>
    <n v="32"/>
    <n v="8.4657534246575334"/>
    <n v="1027.8599791347349"/>
    <n v="1020.4301207139749"/>
    <n v="0.49818632662890167"/>
  </r>
  <r>
    <x v="2"/>
    <s v="SKU85"/>
    <n v="76.962994415193805"/>
    <n v="1924.0748603798452"/>
    <n v="-6760.5381988740046"/>
    <s v="Premium Markup"/>
    <n v="83"/>
    <n v="25"/>
    <n v="8684.6130592538502"/>
    <s v="Female"/>
    <n v="15"/>
    <n v="18"/>
    <n v="66"/>
    <n v="2"/>
    <s v="SwiftParcel"/>
    <n v="8.2491687048717193"/>
    <x v="2"/>
    <x v="0"/>
    <n v="20"/>
    <n v="443"/>
    <n v="5"/>
    <n v="97.730593800533001"/>
    <s v="Fail"/>
    <n v="19.325153351681177"/>
    <n v="0.77300613406724705"/>
    <s v="Road"/>
    <s v="Indo-Pacific Corridor"/>
    <n v="682.97101822609295"/>
    <n v="8001.6420410277569"/>
    <n v="0.92135849765944877"/>
    <n v="0.22061082122016479"/>
    <n v="22"/>
    <n v="1.6666666666666667"/>
    <n v="3414.8550911304646"/>
    <n v="5269.7579681233856"/>
    <n v="0.60679248829724419"/>
  </r>
  <r>
    <x v="1"/>
    <s v="SKU86"/>
    <n v="19.9981769404042"/>
    <n v="4459.5934577101361"/>
    <n v="3230.0024291451564"/>
    <s v="Discount Applied"/>
    <n v="18"/>
    <n v="223"/>
    <n v="1229.59102856498"/>
    <s v="Unknown"/>
    <n v="32"/>
    <n v="14"/>
    <n v="22"/>
    <n v="6"/>
    <s v="TransOceanic"/>
    <n v="1.4543053101535499"/>
    <x v="1"/>
    <x v="3"/>
    <n v="18"/>
    <n v="830"/>
    <n v="5"/>
    <n v="96.527352785310896"/>
    <s v="Pass"/>
    <n v="385.1910060233746"/>
    <n v="1.72731392835594"/>
    <s v="Road"/>
    <s v="Trans-Eurasian Hub"/>
    <n v="806.10317770292295"/>
    <n v="423.48785086205703"/>
    <n v="0.34441358225937724"/>
    <n v="0.11629801540398903"/>
    <n v="24"/>
    <n v="6.96875"/>
    <n v="4030.5158885146147"/>
    <n v="-2800.924859949635"/>
    <n v="-2.277932088703114"/>
  </r>
  <r>
    <x v="0"/>
    <s v="SKU87"/>
    <n v="80.414036650355698"/>
    <n v="6352.7088953781004"/>
    <n v="1218.8621942914106"/>
    <s v="Discount Applied"/>
    <n v="24"/>
    <n v="79"/>
    <n v="5133.8467010866898"/>
    <s v="Male"/>
    <n v="5"/>
    <n v="7"/>
    <n v="55"/>
    <n v="10"/>
    <s v="GlobalLogix"/>
    <n v="6.5758037975485299"/>
    <x v="0"/>
    <x v="3"/>
    <n v="19"/>
    <n v="934"/>
    <n v="23"/>
    <n v="78.280383118415301"/>
    <s v="Pending"/>
    <n v="299.98126615202023"/>
    <n v="3.79723121711418"/>
    <s v="Road"/>
    <s v="Trans-Eurasian Hub"/>
    <n v="458.53594573920901"/>
    <n v="4675.3107553474811"/>
    <n v="0.91068374798917351"/>
    <n v="8.3811973360187683E-2"/>
    <n v="29"/>
    <n v="15.8"/>
    <n v="2292.679728696045"/>
    <n v="2841.1669723906448"/>
    <n v="0.55341873994586754"/>
  </r>
  <r>
    <x v="2"/>
    <s v="SKU88"/>
    <n v="75.270406975724995"/>
    <n v="55474.289941109324"/>
    <n v="46029.547908046341"/>
    <s v="Discount Applied"/>
    <n v="58"/>
    <n v="737"/>
    <n v="9444.7420330629793"/>
    <s v="Male"/>
    <n v="60"/>
    <n v="18"/>
    <n v="85"/>
    <n v="7"/>
    <s v="GlobalLogix"/>
    <n v="3.8012531329310701"/>
    <x v="4"/>
    <x v="1"/>
    <n v="4"/>
    <n v="671"/>
    <n v="29"/>
    <n v="62.612690395614301"/>
    <s v="Pass"/>
    <n v="245.73925519063266"/>
    <n v="0.33343182522473902"/>
    <s v="Rail"/>
    <s v="Trans-Eurasian Hub"/>
    <n v="230.092782536762"/>
    <n v="9214.6492505262177"/>
    <n v="0.97563800242174092"/>
    <n v="9.3312504315371539E-2"/>
    <n v="11"/>
    <n v="12.283333333333333"/>
    <n v="1150.4639126838101"/>
    <n v="8294.2781203791692"/>
    <n v="0.87819001210870462"/>
  </r>
  <r>
    <x v="2"/>
    <s v="SKU89"/>
    <n v="97.760085581938597"/>
    <n v="13099.851467979772"/>
    <n v="7175.1689011265416"/>
    <s v="Discount Applied"/>
    <n v="10"/>
    <n v="134"/>
    <n v="5924.6825668532301"/>
    <s v="Unknown"/>
    <n v="90"/>
    <n v="1"/>
    <n v="27"/>
    <n v="8"/>
    <s v="TransOceanic"/>
    <n v="9.9298162452772498"/>
    <x v="1"/>
    <x v="2"/>
    <n v="24"/>
    <n v="589"/>
    <n v="22"/>
    <n v="33.808636513209002"/>
    <s v="Pass"/>
    <n v="649.02318133381743"/>
    <n v="4.8434565771180402"/>
    <s v="Air"/>
    <s v="Trans-Eurasian Hub"/>
    <n v="465.45700596368698"/>
    <n v="5459.225560889543"/>
    <n v="0.92143764653860527"/>
    <n v="5.7400061991865876E-2"/>
    <n v="32"/>
    <n v="1.4888888888888889"/>
    <n v="2327.2850298184349"/>
    <n v="3597.3975370347953"/>
    <n v="0.60718823269302624"/>
  </r>
  <r>
    <x v="1"/>
    <s v="SKU90"/>
    <n v="13.881913501359101"/>
    <n v="4442.2123204349118"/>
    <n v="-5150.4212498453981"/>
    <s v="Premium Markup"/>
    <n v="56"/>
    <n v="320"/>
    <n v="9592.6335702803099"/>
    <s v="Non-binary"/>
    <n v="66"/>
    <n v="18"/>
    <n v="96"/>
    <n v="7"/>
    <s v="TransOceanic"/>
    <n v="7.6744307081126903"/>
    <x v="0"/>
    <x v="4"/>
    <n v="18"/>
    <n v="396"/>
    <n v="7"/>
    <n v="65.047415094691402"/>
    <s v="Fail"/>
    <n v="553.71991035494079"/>
    <n v="1.7303747198591899"/>
    <s v="Road"/>
    <s v="Trans-Eurasian Hub"/>
    <n v="110.364335231364"/>
    <n v="9482.2692350489451"/>
    <n v="0.98849488678757691"/>
    <n v="0.16426114922901869"/>
    <n v="25"/>
    <n v="4.8484848484848486"/>
    <n v="551.82167615681999"/>
    <n v="9040.8118941234898"/>
    <n v="0.94247443393788521"/>
  </r>
  <r>
    <x v="2"/>
    <s v="SKU91"/>
    <n v="62.111965463961702"/>
    <n v="56894.560364988916"/>
    <n v="54959.353571481326"/>
    <s v="Discount Applied"/>
    <n v="90"/>
    <n v="916"/>
    <n v="1935.20679350759"/>
    <s v="Male"/>
    <n v="98"/>
    <n v="22"/>
    <n v="85"/>
    <n v="7"/>
    <s v="TransOceanic"/>
    <n v="7.4715140844011403"/>
    <x v="3"/>
    <x v="3"/>
    <n v="30"/>
    <n v="791"/>
    <n v="6"/>
    <n v="9.0058074287816403"/>
    <s v="Fail"/>
    <n v="1330.0065388610778"/>
    <n v="1.4519722039968099"/>
    <s v="Air"/>
    <s v="Trans-Eurasian Hub"/>
    <n v="653.67299455203295"/>
    <n v="1281.5337989555569"/>
    <n v="0.66222059743432304"/>
    <n v="1.1385344410596259E-2"/>
    <n v="37"/>
    <n v="9.3469387755102034"/>
    <n v="3268.3649727601646"/>
    <n v="-1333.1581792525747"/>
    <n v="-0.68889701282838434"/>
  </r>
  <r>
    <x v="2"/>
    <s v="SKU92"/>
    <n v="47.714233075820196"/>
    <n v="13169.128328926374"/>
    <n v="11068.998574300444"/>
    <s v="Discount Applied"/>
    <n v="44"/>
    <n v="276"/>
    <n v="2100.1297546259302"/>
    <s v="Male"/>
    <n v="90"/>
    <n v="25"/>
    <n v="10"/>
    <n v="8"/>
    <s v="TransOceanic"/>
    <n v="4.4695000261236002"/>
    <x v="4"/>
    <x v="4"/>
    <n v="5"/>
    <n v="207"/>
    <n v="28"/>
    <n v="39.772882502339897"/>
    <s v="Pending"/>
    <n v="172.77651286579274"/>
    <n v="0.62600185820939402"/>
    <s v="Rail"/>
    <s v="Trans-Eurasian Hub"/>
    <n v="996.77831495062298"/>
    <n v="1103.3514396753071"/>
    <n v="0.52537298576193603"/>
    <n v="0.19213952899681111"/>
    <n v="13"/>
    <n v="3.0666666666666669"/>
    <n v="4983.8915747531146"/>
    <n v="-2883.7618201271844"/>
    <n v="-1.3731350711903192"/>
  </r>
  <r>
    <x v="0"/>
    <s v="SKU93"/>
    <n v="69.290831002905406"/>
    <n v="7899.1547343312159"/>
    <n v="3367.7526006393155"/>
    <s v="Discount Applied"/>
    <n v="88"/>
    <n v="114"/>
    <n v="4531.4021336919004"/>
    <s v="Unknown"/>
    <n v="63"/>
    <n v="17"/>
    <n v="66"/>
    <n v="1"/>
    <s v="SwiftParcel"/>
    <n v="7.00643205900439"/>
    <x v="3"/>
    <x v="2"/>
    <n v="25"/>
    <n v="759"/>
    <n v="11"/>
    <n v="48.064782640006499"/>
    <s v="Pass"/>
    <n v="231.42787610823748"/>
    <n v="2.0300690886687498"/>
    <s v="Air"/>
    <s v="Americas Gateway"/>
    <n v="873.12964801765099"/>
    <n v="3658.2724856742493"/>
    <n v="0.80731578830186934"/>
    <n v="6.3326459341247032E-2"/>
    <n v="26"/>
    <n v="1.8095238095238095"/>
    <n v="4365.6482400882551"/>
    <n v="165.75389360364534"/>
    <n v="3.6578941509346805E-2"/>
  </r>
  <r>
    <x v="2"/>
    <s v="SKU94"/>
    <n v="3.0376887246314102"/>
    <n v="2998.1987712112018"/>
    <n v="-4890.1577754506689"/>
    <s v="Premium Markup"/>
    <n v="97"/>
    <n v="987"/>
    <n v="7888.3565466618702"/>
    <s v="Unknown"/>
    <n v="77"/>
    <n v="26"/>
    <n v="72"/>
    <n v="9"/>
    <s v="TransOceanic"/>
    <n v="6.9429459420325799"/>
    <x v="4"/>
    <x v="0"/>
    <n v="26"/>
    <n v="179"/>
    <n v="7"/>
    <n v="96.422820639571796"/>
    <s v="Fail"/>
    <n v="4875.0449698688672"/>
    <n v="4.9392552886209398"/>
    <s v="Road"/>
    <s v="Indo-Pacific Corridor"/>
    <n v="635.65712050199102"/>
    <n v="7252.6994261598793"/>
    <n v="0.91941830763583032"/>
    <n v="0.53867497564006595"/>
    <n v="35"/>
    <n v="12.818181818181818"/>
    <n v="3178.285602509955"/>
    <n v="4710.0709441519157"/>
    <n v="0.5970915381791515"/>
  </r>
  <r>
    <x v="0"/>
    <s v="SKU95"/>
    <n v="77.903927219447695"/>
    <n v="52351.439091468848"/>
    <n v="44965.07514742019"/>
    <s v="Discount Applied"/>
    <n v="65"/>
    <n v="672"/>
    <n v="7386.3639440486604"/>
    <s v="Unknown"/>
    <n v="15"/>
    <n v="14"/>
    <n v="26"/>
    <n v="9"/>
    <s v="TransOceanic"/>
    <n v="8.6303388696027508"/>
    <x v="3"/>
    <x v="3"/>
    <n v="9"/>
    <n v="862"/>
    <n v="7"/>
    <n v="77.627765812748095"/>
    <s v="Pending"/>
    <n v="915.52472837219511"/>
    <n v="1.3623879886490999"/>
    <s v="Air"/>
    <s v="Indo-Pacific Corridor"/>
    <n v="207.66320620857499"/>
    <n v="7178.7007378400858"/>
    <n v="0.97188559786904449"/>
    <n v="9.0055412775809848E-2"/>
    <n v="18"/>
    <n v="44.8"/>
    <n v="1038.316031042875"/>
    <n v="6348.0479130057856"/>
    <n v="0.85942798934522224"/>
  </r>
  <r>
    <x v="2"/>
    <s v="SKU96"/>
    <n v="24.423131420373299"/>
    <n v="7913.0945802009492"/>
    <n v="214.66981456883877"/>
    <s v="Discount Applied"/>
    <n v="29"/>
    <n v="324"/>
    <n v="7698.4247656321104"/>
    <s v="Non-binary"/>
    <n v="67"/>
    <n v="2"/>
    <n v="32"/>
    <n v="3"/>
    <s v="SwiftParcel"/>
    <n v="5.3528780439967996"/>
    <x v="0"/>
    <x v="4"/>
    <n v="21"/>
    <n v="588"/>
    <n v="25"/>
    <n v="67.779622987078099"/>
    <s v="Pending"/>
    <n v="813.62064498891482"/>
    <n v="2.5111748302126999"/>
    <s v="Rail"/>
    <s v="Indo-Pacific Corridor"/>
    <n v="482.19123860252802"/>
    <n v="7216.2335270295825"/>
    <n v="0.93736494759873967"/>
    <n v="0.11527146766509881"/>
    <n v="24"/>
    <n v="4.8358208955223878"/>
    <n v="2410.9561930126401"/>
    <n v="5287.4685726194703"/>
    <n v="0.68682473799369803"/>
  </r>
  <r>
    <x v="0"/>
    <s v="SKU97"/>
    <n v="3.5261112591434101"/>
    <n v="218.61889806689143"/>
    <n v="-4152.2976819176383"/>
    <s v="Premium Markup"/>
    <n v="56"/>
    <n v="62"/>
    <n v="4370.9165799845296"/>
    <s v="Male"/>
    <n v="46"/>
    <n v="19"/>
    <n v="4"/>
    <n v="9"/>
    <s v="GlobalLogix"/>
    <n v="7.9048456112096703"/>
    <x v="3"/>
    <x v="1"/>
    <n v="25"/>
    <n v="858"/>
    <n v="21"/>
    <n v="71.126514720403307"/>
    <s v="Pending"/>
    <n v="254.00664261316791"/>
    <n v="4.0968813324704501"/>
    <s v="Sea"/>
    <s v="Americas Gateway"/>
    <n v="323.59220343132199"/>
    <n v="4047.3243765532075"/>
    <n v="0.92596696882454177"/>
    <n v="8.2898035804665857E-2"/>
    <n v="34"/>
    <n v="1.3478260869565217"/>
    <n v="1617.9610171566101"/>
    <n v="2752.9555628279195"/>
    <n v="0.62983484412270874"/>
  </r>
  <r>
    <x v="1"/>
    <s v="SKU98"/>
    <n v="19.754604866878601"/>
    <n v="18035.954243460164"/>
    <n v="9510.0016837766452"/>
    <s v="Discount Applied"/>
    <n v="43"/>
    <n v="913"/>
    <n v="8525.9525596835192"/>
    <s v="Female"/>
    <n v="53"/>
    <n v="1"/>
    <n v="27"/>
    <n v="7"/>
    <s v="TransOceanic"/>
    <n v="1.4098010951380699"/>
    <x v="2"/>
    <x v="1"/>
    <n v="4"/>
    <n v="569"/>
    <n v="18"/>
    <n v="74.608969995194599"/>
    <s v="Pass"/>
    <n v="1873.0313057895769"/>
    <n v="2.0515129307662399"/>
    <s v="Rail"/>
    <s v="Indo-Pacific Corridor"/>
    <n v="264.25488983586598"/>
    <n v="8261.6976698476537"/>
    <n v="0.96900582216637687"/>
    <n v="0.13112297011457749"/>
    <n v="11"/>
    <n v="17.226415094339622"/>
    <n v="1321.2744491793298"/>
    <n v="7204.6781105041891"/>
    <n v="0.84502911083188392"/>
  </r>
  <r>
    <x v="0"/>
    <s v="SKU99"/>
    <n v="68.517832699276596"/>
    <n v="42960.681102446426"/>
    <n v="33775.495273264722"/>
    <s v="Discount Applied"/>
    <n v="17"/>
    <n v="627"/>
    <n v="9185.1858291817007"/>
    <s v="Unknown"/>
    <n v="55"/>
    <n v="8"/>
    <n v="59"/>
    <n v="6"/>
    <s v="TransOceanic"/>
    <n v="1.3110237561206199"/>
    <x v="4"/>
    <x v="3"/>
    <n v="11"/>
    <n v="176"/>
    <n v="4"/>
    <n v="1.90076224351945"/>
    <s v="Fail"/>
    <n v="280.39064769581699"/>
    <n v="0.44719401546382298"/>
    <s v="Air"/>
    <s v="Indo-Pacific Corridor"/>
    <n v="312.57427361009297"/>
    <n v="8872.6115555716078"/>
    <n v="0.96596973872678416"/>
    <n v="1.079978547454233E-2"/>
    <n v="17"/>
    <n v="11.4"/>
    <n v="1562.8713680504648"/>
    <n v="7622.3144611312364"/>
    <n v="0.82984869363392089"/>
  </r>
</pivotCacheRecords>
</file>

<file path=xl/pivotCache/pivotCacheRecords3.xml><?xml version="1.0" encoding="utf-8"?>
<pivotCacheRecords xmlns="http://schemas.openxmlformats.org/spreadsheetml/2006/main" xmlns:r="http://schemas.openxmlformats.org/officeDocument/2006/relationships" count="100">
  <r>
    <s v="haircare"/>
    <s v="SKU0"/>
    <n v="69.808005542115694"/>
    <n v="55986.02044477679"/>
    <n v="47324.023652384407"/>
    <s v="Discount Applied"/>
    <n v="55"/>
    <n v="802"/>
    <n v="8661.9967923923796"/>
    <s v="Non-binary"/>
    <n v="58"/>
    <n v="7"/>
    <n v="96"/>
    <n v="4"/>
    <x v="0"/>
    <n v="2.9565721394308002"/>
    <s v="Global Source Logistics"/>
    <s v="Tech &amp; R&amp;D Center"/>
    <n v="18"/>
    <n v="673"/>
    <n v="28"/>
    <n v="14.190328344569901"/>
    <s v="Pending"/>
    <n v="1421.906840011007"/>
    <n v="1.7729511720835499E-2"/>
    <n v="1.77295117208355"/>
    <x v="0"/>
    <s v="Indo-Pacific Corridor"/>
    <n v="694.98231757944495"/>
    <n v="7967.0144748129351"/>
    <n v="0.91976650023816331"/>
    <n v="2.1085183275735365E-2"/>
    <n v="22"/>
    <n v="13.827586206896552"/>
    <n v="3474.9115878972248"/>
    <n v="5187.0852044951553"/>
  </r>
  <r>
    <s v="skincare"/>
    <s v="SKU1"/>
    <n v="14.8435232750843"/>
    <n v="10924.833130462044"/>
    <n v="3463.9330650162046"/>
    <s v="Discount Applied"/>
    <n v="95"/>
    <n v="736"/>
    <n v="7460.9000654458396"/>
    <s v="Female"/>
    <n v="53"/>
    <n v="30"/>
    <n v="37"/>
    <n v="2"/>
    <x v="1"/>
    <n v="9.7165747714313095"/>
    <s v="Global Source Logistics"/>
    <s v="West Coast Hub (Port)"/>
    <n v="10"/>
    <n v="841"/>
    <n v="12"/>
    <n v="5.9306936455283097"/>
    <s v="Pending"/>
    <n v="451.40859778507718"/>
    <n v="6.1332689916450698E-3"/>
    <n v="0.613326899164507"/>
    <x v="1"/>
    <s v="Trans-Eurasian Hub"/>
    <n v="339.67286994860598"/>
    <n v="7121.2271954972339"/>
    <n v="0.9544729366471808"/>
    <n v="7.051954394207265E-3"/>
    <n v="12"/>
    <n v="13.886792452830189"/>
    <n v="1698.3643497430298"/>
    <n v="5762.5357157028102"/>
  </r>
  <r>
    <s v="haircare"/>
    <s v="SKU2"/>
    <n v="11.319683293090501"/>
    <n v="90.557466344724006"/>
    <n v="-9487.1921595240055"/>
    <s v="Premium Markup"/>
    <n v="34"/>
    <n v="8"/>
    <n v="9577.7496258687297"/>
    <s v="Unknown"/>
    <n v="1"/>
    <n v="10"/>
    <n v="88"/>
    <n v="2"/>
    <x v="0"/>
    <n v="8.0544792617321495"/>
    <s v="Apex Manufacturing Corp"/>
    <s v="South Asia Mfg Hub"/>
    <n v="24"/>
    <n v="461"/>
    <n v="8"/>
    <n v="60.251145661598002"/>
    <s v="Pending"/>
    <n v="23.912000053240561"/>
    <n v="2.9890000066550702E-2"/>
    <n v="2.9890000066550702"/>
    <x v="2"/>
    <s v="Americas Gateway"/>
    <n v="609.379206618426"/>
    <n v="8968.3704192503028"/>
    <n v="0.93637553387566708"/>
    <n v="0.13069662833318438"/>
    <n v="26"/>
    <n v="8"/>
    <n v="3046.89603309213"/>
    <n v="6530.8535927765997"/>
  </r>
  <r>
    <s v="skincare"/>
    <s v="SKU3"/>
    <n v="61.1633430164377"/>
    <n v="5076.5574703643288"/>
    <n v="-2690.2789553209013"/>
    <s v="Premium Markup"/>
    <n v="68"/>
    <n v="83"/>
    <n v="7766.8364256852301"/>
    <s v="Non-binary"/>
    <n v="23"/>
    <n v="13"/>
    <n v="59"/>
    <n v="6"/>
    <x v="2"/>
    <n v="1.7295685635434199"/>
    <s v="Titan Industrial Group"/>
    <s v="West Coast Hub (Port)"/>
    <n v="12"/>
    <n v="971"/>
    <n v="27"/>
    <n v="30.6880193482842"/>
    <s v="Pending"/>
    <n v="380.18918739353529"/>
    <n v="4.5805926191992204E-2"/>
    <n v="4.5805926191992201"/>
    <x v="1"/>
    <s v="Americas Gateway"/>
    <n v="141.920281771519"/>
    <n v="7624.9161439137115"/>
    <n v="0.98172740173821826"/>
    <n v="3.160455133705891E-2"/>
    <n v="18"/>
    <n v="3.6086956521739131"/>
    <n v="709.60140885759506"/>
    <n v="7057.2350168276353"/>
  </r>
  <r>
    <s v="skincare"/>
    <s v="SKU4"/>
    <n v="4.8054960363458896"/>
    <n v="4185.58704765727"/>
    <n v="1499.08189608983"/>
    <s v="Discount Applied"/>
    <n v="26"/>
    <n v="871"/>
    <n v="2686.50515156744"/>
    <s v="Non-binary"/>
    <n v="5"/>
    <n v="3"/>
    <n v="56"/>
    <n v="8"/>
    <x v="1"/>
    <n v="3.8905479158706702"/>
    <s v="Apex Manufacturing Corp"/>
    <s v="East Gateway Hub"/>
    <n v="30"/>
    <n v="737"/>
    <n v="7"/>
    <n v="29.6924671537497"/>
    <s v="Pass"/>
    <n v="1694.9974599853017"/>
    <n v="1.94603611938611E-2"/>
    <n v="1.94603611938611"/>
    <x v="0"/>
    <s v="Indo-Pacific Corridor"/>
    <n v="761.17390951487698"/>
    <n v="1925.3312420525631"/>
    <n v="0.71666761589093908"/>
    <n v="4.0288286504409361E-2"/>
    <n v="38"/>
    <n v="174.2"/>
    <n v="3805.8695475743848"/>
    <n v="-1119.3643960069448"/>
  </r>
  <r>
    <s v="haircare"/>
    <s v="SKU5"/>
    <n v="1.6999760138659299"/>
    <n v="249.8964740382917"/>
    <n v="-2578.4522719374581"/>
    <s v="Premium Markup"/>
    <n v="87"/>
    <n v="147"/>
    <n v="2828.3487459757498"/>
    <s v="Non-binary"/>
    <n v="90"/>
    <n v="27"/>
    <n v="66"/>
    <n v="3"/>
    <x v="0"/>
    <n v="4.4440988643822896"/>
    <s v="Elite Quality Parts"/>
    <s v="Tech &amp; R&amp;D Center"/>
    <n v="8"/>
    <n v="585"/>
    <n v="8"/>
    <n v="85.675963335797903"/>
    <s v="Pass"/>
    <n v="179.24918698700287"/>
    <n v="1.21938222440138E-2"/>
    <n v="1.2193822244013801"/>
    <x v="2"/>
    <s v="Trans-Eurasian Hub"/>
    <n v="990.07847250581096"/>
    <n v="1838.2702734699387"/>
    <n v="0.64994469868168792"/>
    <n v="0.14645463818085111"/>
    <n v="11"/>
    <n v="1.6333333333333333"/>
    <n v="4950.3923625290545"/>
    <n v="-2122.0436165533047"/>
  </r>
  <r>
    <s v="skincare"/>
    <s v="SKU6"/>
    <n v="4.0783328631079403"/>
    <n v="265.09163610201614"/>
    <n v="-7558.384923429714"/>
    <s v="Premium Markup"/>
    <n v="48"/>
    <n v="65"/>
    <n v="7823.4765595317303"/>
    <s v="Male"/>
    <n v="11"/>
    <n v="15"/>
    <n v="58"/>
    <n v="8"/>
    <x v="2"/>
    <n v="3.8807633029519999"/>
    <s v="Global Source Logistics"/>
    <s v="West Coast Hub (Port)"/>
    <n v="10"/>
    <n v="198"/>
    <n v="11"/>
    <n v="7.0578761469782298"/>
    <s v="Pass"/>
    <n v="8.5771038802679094"/>
    <n v="1.31955444311814E-3"/>
    <n v="0.131955444311814"/>
    <x v="3"/>
    <s v="Americas Gateway"/>
    <n v="169.27180138478599"/>
    <n v="7654.2047581469442"/>
    <n v="0.97836360854452187"/>
    <n v="3.5645839126152677E-2"/>
    <n v="18"/>
    <n v="5.9090909090909092"/>
    <n v="846.35900692392988"/>
    <n v="6977.1175526078005"/>
  </r>
  <r>
    <s v="cosmetics"/>
    <s v="SKU7"/>
    <n v="42.958384382459997"/>
    <n v="18300.27174692796"/>
    <n v="9804.1679338381291"/>
    <s v="Discount Applied"/>
    <n v="59"/>
    <n v="426"/>
    <n v="8496.1038130898305"/>
    <s v="Female"/>
    <n v="93"/>
    <n v="17"/>
    <n v="11"/>
    <n v="1"/>
    <x v="0"/>
    <n v="2.3483387844177801"/>
    <s v="Elite Quality Parts"/>
    <s v="West Coast Hub (Port)"/>
    <n v="10"/>
    <n v="727"/>
    <n v="27"/>
    <n v="9.1668491485971497"/>
    <s v="Pending"/>
    <n v="904.17290975526737"/>
    <n v="2.1224716191438203E-2"/>
    <n v="2.1224716191438202"/>
    <x v="1"/>
    <s v="Americas Gateway"/>
    <n v="602.89849883838303"/>
    <n v="7893.2053142514478"/>
    <n v="0.92903823774969585"/>
    <n v="1.2609146009074484E-2"/>
    <n v="11"/>
    <n v="4.580645161290323"/>
    <n v="3014.4924941919153"/>
    <n v="5481.6113188979152"/>
  </r>
  <r>
    <s v="cosmetics"/>
    <s v="SKU8"/>
    <n v="68.717596748527299"/>
    <n v="10307.639512279095"/>
    <n v="2790.2763016479748"/>
    <s v="Discount Applied"/>
    <n v="78"/>
    <n v="150"/>
    <n v="7517.3632106311197"/>
    <s v="Female"/>
    <n v="5"/>
    <n v="10"/>
    <n v="15"/>
    <n v="7"/>
    <x v="2"/>
    <n v="3.4047338570830199"/>
    <s v="Elite Quality Parts"/>
    <s v="West Coast Hub (Port)"/>
    <n v="21"/>
    <n v="953"/>
    <n v="11"/>
    <n v="68.1849190570411"/>
    <s v="Pending"/>
    <n v="108.33066028243965"/>
    <n v="7.22204401882931E-3"/>
    <n v="0.722204401882931"/>
    <x v="3"/>
    <s v="Indo-Pacific Corridor"/>
    <n v="103.916247960704"/>
    <n v="7413.4469626704158"/>
    <n v="0.98617650297730131"/>
    <n v="7.1547659031522659E-2"/>
    <n v="28"/>
    <n v="30"/>
    <n v="519.58123980352002"/>
    <n v="6997.7819708276002"/>
  </r>
  <r>
    <s v="skincare"/>
    <s v="SKU9"/>
    <n v="64.0157329412785"/>
    <n v="62735.418282452927"/>
    <n v="57764.272294867376"/>
    <s v="Discount Applied"/>
    <n v="35"/>
    <n v="980"/>
    <n v="4971.1459875855498"/>
    <s v="Unknown"/>
    <n v="14"/>
    <n v="27"/>
    <n v="83"/>
    <n v="1"/>
    <x v="1"/>
    <n v="7.1666452910482104"/>
    <s v="Precision Tech Solutions"/>
    <s v="East Gateway Hub"/>
    <n v="18"/>
    <n v="374"/>
    <n v="17"/>
    <n v="27.107980854843898"/>
    <s v="Pending"/>
    <n v="2187.3003285146747"/>
    <n v="2.2319391107292599E-2"/>
    <n v="2.2319391107292601"/>
    <x v="3"/>
    <s v="Indo-Pacific Corridor"/>
    <n v="593.48025872065102"/>
    <n v="4377.6657288648985"/>
    <n v="0.88061500100726264"/>
    <n v="7.248123223220293E-2"/>
    <n v="19"/>
    <n v="70"/>
    <n v="2967.401293603255"/>
    <n v="2003.7446939822948"/>
  </r>
  <r>
    <s v="skincare"/>
    <s v="SKU10"/>
    <n v="15.707795681912099"/>
    <n v="15644.964499184451"/>
    <n v="13313.998697092511"/>
    <s v="Discount Applied"/>
    <n v="11"/>
    <n v="996"/>
    <n v="2330.9658020919401"/>
    <s v="Non-binary"/>
    <n v="51"/>
    <n v="13"/>
    <n v="80"/>
    <n v="2"/>
    <x v="2"/>
    <n v="8.6732112112786108"/>
    <s v="Titan Industrial Group"/>
    <s v="South Asia Mfg Hub"/>
    <n v="29"/>
    <n v="921"/>
    <n v="2"/>
    <n v="38.072898520625998"/>
    <s v="Fail"/>
    <n v="344.64318154268096"/>
    <n v="3.46027290705503E-3"/>
    <n v="0.34602729070550298"/>
    <x v="2"/>
    <s v="Trans-Eurasian Hub"/>
    <n v="210.743008964246"/>
    <n v="2120.2227931276939"/>
    <n v="0.9095898323454108"/>
    <n v="4.1338652031081433E-2"/>
    <n v="31"/>
    <n v="19.529411764705884"/>
    <n v="1053.7150448212301"/>
    <n v="1277.25075727071"/>
  </r>
  <r>
    <s v="skincare"/>
    <s v="SKU11"/>
    <n v="90.635459982288594"/>
    <n v="87010.041582997044"/>
    <n v="80910.097467415588"/>
    <s v="Discount Applied"/>
    <n v="95"/>
    <n v="960"/>
    <n v="6099.9441155814502"/>
    <s v="Female"/>
    <n v="46"/>
    <n v="23"/>
    <n v="60"/>
    <n v="1"/>
    <x v="1"/>
    <n v="4.5239431243166601"/>
    <s v="Precision Tech Solutions"/>
    <s v="South Asia Mfg Hub"/>
    <n v="4"/>
    <n v="452"/>
    <n v="10"/>
    <n v="10.754272815029299"/>
    <s v="Pass"/>
    <n v="620.74037699717178"/>
    <n v="6.4660455937205399E-3"/>
    <n v="0.64660455937205397"/>
    <x v="0"/>
    <s v="Trans-Eurasian Hub"/>
    <n v="510.35800043352299"/>
    <n v="5589.5861151479276"/>
    <n v="0.91633398753115047"/>
    <n v="2.3792638971303761E-2"/>
    <n v="5"/>
    <n v="20.869565217391305"/>
    <n v="2551.7900021676151"/>
    <n v="3548.1541134138351"/>
  </r>
  <r>
    <s v="haircare"/>
    <s v="SKU12"/>
    <n v="71.213389075359999"/>
    <n v="23927.69872932096"/>
    <n v="21053.957283299522"/>
    <s v="Discount Applied"/>
    <n v="41"/>
    <n v="336"/>
    <n v="2873.74144602144"/>
    <s v="Unknown"/>
    <n v="100"/>
    <n v="30"/>
    <n v="85"/>
    <n v="4"/>
    <x v="1"/>
    <n v="1.32527401018452"/>
    <s v="Elite Quality Parts"/>
    <s v="Tech &amp; R&amp;D Center"/>
    <n v="28"/>
    <n v="447"/>
    <n v="3"/>
    <n v="40.382359702924802"/>
    <s v="Pending"/>
    <n v="1240.2802583232499"/>
    <n v="3.6913102926287203E-2"/>
    <n v="3.69131029262872"/>
    <x v="1"/>
    <s v="Indo-Pacific Corridor"/>
    <n v="758.72477260293795"/>
    <n v="2115.0166734185023"/>
    <n v="0.7359801544939415"/>
    <n v="9.0340849447259064E-2"/>
    <n v="32"/>
    <n v="3.36"/>
    <n v="3793.62386301469"/>
    <n v="-919.88241699324999"/>
  </r>
  <r>
    <s v="skincare"/>
    <s v="SKU13"/>
    <n v="16.160393317379899"/>
    <n v="4023.9379360275948"/>
    <n v="-28.80048021026505"/>
    <s v="Premium Markup"/>
    <n v="5"/>
    <n v="249"/>
    <n v="4052.7384162378598"/>
    <s v="Male"/>
    <n v="80"/>
    <n v="8"/>
    <n v="48"/>
    <n v="9"/>
    <x v="1"/>
    <n v="9.5372830611083295"/>
    <s v="Titan Industrial Group"/>
    <s v="West Coast Hub (Port)"/>
    <n v="29"/>
    <n v="929"/>
    <n v="24"/>
    <n v="87.213057815135599"/>
    <s v="Fail"/>
    <n v="710.41956354561341"/>
    <n v="2.85309061664905E-2"/>
    <n v="2.8530906166490499"/>
    <x v="2"/>
    <s v="Indo-Pacific Corridor"/>
    <n v="430.16909697513597"/>
    <n v="3622.5693192627241"/>
    <n v="0.89385717685316091"/>
    <n v="9.3878426065807971E-2"/>
    <n v="38"/>
    <n v="3.1124999999999998"/>
    <n v="2150.8454848756801"/>
    <n v="1901.8929313621798"/>
  </r>
  <r>
    <s v="skincare"/>
    <s v="SKU14"/>
    <n v="99.171328638624104"/>
    <n v="55734.286694906747"/>
    <n v="47080.715768436945"/>
    <s v="Discount Applied"/>
    <n v="26"/>
    <n v="562"/>
    <n v="8653.5709264697998"/>
    <s v="Non-binary"/>
    <n v="54"/>
    <n v="29"/>
    <n v="78"/>
    <n v="5"/>
    <x v="0"/>
    <n v="2.0397701894493299"/>
    <s v="Apex Manufacturing Corp"/>
    <s v="East Gateway Hub"/>
    <n v="11"/>
    <n v="568"/>
    <n v="29"/>
    <n v="98.6099572427038"/>
    <s v="Pending"/>
    <n v="754.36785825017432"/>
    <n v="1.34229156272273E-2"/>
    <n v="1.3422915627227301"/>
    <x v="2"/>
    <s v="Indo-Pacific Corridor"/>
    <n v="196.329446112412"/>
    <n v="8457.2414803573884"/>
    <n v="0.97731232022240977"/>
    <n v="0.17360907965264755"/>
    <n v="16"/>
    <n v="10.407407407407407"/>
    <n v="981.64723056206003"/>
    <n v="7671.9236959077398"/>
  </r>
  <r>
    <s v="skincare"/>
    <s v="SKU15"/>
    <n v="36.989244928626903"/>
    <n v="17347.955871526017"/>
    <n v="11905.869086128347"/>
    <s v="Discount Applied"/>
    <n v="94"/>
    <n v="469"/>
    <n v="5442.0867853976697"/>
    <s v="Non-binary"/>
    <n v="9"/>
    <n v="8"/>
    <n v="69"/>
    <n v="7"/>
    <x v="0"/>
    <n v="2.4220397232752"/>
    <s v="Apex Manufacturing Corp"/>
    <s v="East Gateway Hub"/>
    <n v="25"/>
    <n v="558"/>
    <n v="14"/>
    <n v="5.7914366298629796"/>
    <s v="Pending"/>
    <n v="47.220257384028621"/>
    <n v="1.0068285156509301E-3"/>
    <n v="0.100682851565093"/>
    <x v="1"/>
    <s v="Trans-Eurasian Hub"/>
    <n v="929.23528996088896"/>
    <n v="4512.8514954367811"/>
    <n v="0.82925018901678782"/>
    <n v="1.0378918691510716E-2"/>
    <n v="32"/>
    <n v="52.111111111111114"/>
    <n v="4646.1764498044449"/>
    <n v="795.91033559322477"/>
  </r>
  <r>
    <s v="skincare"/>
    <s v="SKU16"/>
    <n v="7.5471721097912701"/>
    <n v="2113.2081907415554"/>
    <n v="-4340.589777434725"/>
    <s v="Premium Markup"/>
    <n v="74"/>
    <n v="280"/>
    <n v="6453.7979681762799"/>
    <s v="Female"/>
    <n v="2"/>
    <n v="5"/>
    <n v="78"/>
    <n v="1"/>
    <x v="0"/>
    <n v="4.1913245857054999"/>
    <s v="Apex Manufacturing Corp"/>
    <s v="West Coast Hub (Port)"/>
    <n v="29"/>
    <n v="215"/>
    <n v="29"/>
    <n v="46.279879240508301"/>
    <s v="Pending"/>
    <n v="63.394901037978997"/>
    <n v="2.2641036084992501E-3"/>
    <n v="0.226410360849925"/>
    <x v="0"/>
    <s v="Trans-Eurasian Hub"/>
    <n v="187.75207545920301"/>
    <n v="6266.0458927170766"/>
    <n v="0.97090828123455208"/>
    <n v="0.21525525228143397"/>
    <n v="30"/>
    <n v="140"/>
    <n v="938.76037729601512"/>
    <n v="5515.0375908802653"/>
  </r>
  <r>
    <s v="cosmetics"/>
    <s v="SKU17"/>
    <n v="81.462534369237005"/>
    <n v="10264.279330523863"/>
    <n v="7634.8828956786028"/>
    <s v="Discount Applied"/>
    <n v="82"/>
    <n v="126"/>
    <n v="2629.39643484526"/>
    <s v="Female"/>
    <n v="45"/>
    <n v="17"/>
    <n v="85"/>
    <n v="9"/>
    <x v="2"/>
    <n v="3.5854189582323399"/>
    <s v="Apex Manufacturing Corp"/>
    <s v="South Asia Mfg Hub"/>
    <n v="4"/>
    <n v="211"/>
    <n v="2"/>
    <n v="69.929345518672307"/>
    <s v="Fail"/>
    <n v="173.1780539679645"/>
    <n v="1.37442899974575E-2"/>
    <n v="1.3744289997457499"/>
    <x v="0"/>
    <s v="Trans-Eurasian Hub"/>
    <n v="842.68683000464102"/>
    <n v="1786.709604840619"/>
    <n v="0.67951320735162057"/>
    <n v="0.33141869914062705"/>
    <n v="13"/>
    <n v="2.8"/>
    <n v="4213.4341500232049"/>
    <n v="-1584.0377151779448"/>
  </r>
  <r>
    <s v="haircare"/>
    <s v="SKU18"/>
    <n v="36.4436277704609"/>
    <n v="22595.049217685759"/>
    <n v="13230.375712609588"/>
    <s v="Discount Applied"/>
    <n v="23"/>
    <n v="620"/>
    <n v="9364.6735050761708"/>
    <s v="Unknown"/>
    <n v="10"/>
    <n v="10"/>
    <n v="46"/>
    <n v="8"/>
    <x v="2"/>
    <n v="4.3392247141107001"/>
    <s v="Precision Tech Solutions"/>
    <s v="South Asia Mfg Hub"/>
    <n v="8"/>
    <n v="202"/>
    <n v="5"/>
    <n v="76.961228023819999"/>
    <s v="Fail"/>
    <n v="1766.7905630733046"/>
    <n v="2.8496621985053299E-2"/>
    <n v="2.8496621985053299"/>
    <x v="3"/>
    <s v="Trans-Eurasian Hub"/>
    <n v="787.77985049434403"/>
    <n v="8576.8936545818269"/>
    <n v="0.91587748894103749"/>
    <n v="0.38099617833574256"/>
    <n v="16"/>
    <n v="62"/>
    <n v="3938.89925247172"/>
    <n v="5425.7742526044512"/>
  </r>
  <r>
    <s v="skincare"/>
    <s v="SKU19"/>
    <n v="51.123870087964697"/>
    <n v="9560.1637064493989"/>
    <n v="7006.6681214581895"/>
    <s v="Discount Applied"/>
    <n v="100"/>
    <n v="187"/>
    <n v="2553.4955849912099"/>
    <s v="Unknown"/>
    <n v="48"/>
    <n v="11"/>
    <n v="94"/>
    <n v="3"/>
    <x v="1"/>
    <n v="4.7426358828418698"/>
    <s v="Elite Quality Parts"/>
    <s v="South Asia Mfg Hub"/>
    <n v="28"/>
    <n v="581"/>
    <n v="9"/>
    <n v="5.6046908643717801"/>
    <s v="Pending"/>
    <n v="543.81884566868553"/>
    <n v="2.9081221693512599E-2"/>
    <n v="2.9081221693512598"/>
    <x v="2"/>
    <s v="Indo-Pacific Corridor"/>
    <n v="882.19886354704101"/>
    <n v="1671.2967214441687"/>
    <n v="0.65451326067200621"/>
    <n v="9.6466279937552149E-3"/>
    <n v="31"/>
    <n v="3.8958333333333335"/>
    <n v="4410.9943177352052"/>
    <n v="-1857.4987327439953"/>
  </r>
  <r>
    <s v="skincare"/>
    <s v="SKU20"/>
    <n v="96.341072439963298"/>
    <n v="30829.143180788255"/>
    <n v="22701.115483937065"/>
    <s v="Discount Applied"/>
    <n v="22"/>
    <n v="320"/>
    <n v="8128.0276968511898"/>
    <s v="Unknown"/>
    <n v="27"/>
    <n v="12"/>
    <n v="68"/>
    <n v="6"/>
    <x v="1"/>
    <n v="8.8783346509268402"/>
    <s v="Apex Manufacturing Corp"/>
    <s v="Northern Logistics Node"/>
    <n v="17"/>
    <n v="328"/>
    <n v="6"/>
    <n v="8.6930424258772803"/>
    <s v="Fail"/>
    <n v="51.035620709604487"/>
    <n v="1.5948631471751401E-3"/>
    <n v="0.15948631471751401"/>
    <x v="1"/>
    <s v="Americas Gateway"/>
    <n v="771.225084681157"/>
    <n v="7356.8026121700332"/>
    <n v="0.90511534735789223"/>
    <n v="2.6503178127674634E-2"/>
    <n v="23"/>
    <n v="11.851851851851851"/>
    <n v="3856.1254234057851"/>
    <n v="4271.9022734454047"/>
  </r>
  <r>
    <s v="cosmetics"/>
    <s v="SKU21"/>
    <n v="84.893868984950799"/>
    <n v="51021.215259955432"/>
    <n v="43934.162563598002"/>
    <s v="Discount Applied"/>
    <n v="60"/>
    <n v="601"/>
    <n v="7087.0526963574302"/>
    <s v="Unknown"/>
    <n v="69"/>
    <n v="25"/>
    <n v="7"/>
    <n v="6"/>
    <x v="0"/>
    <n v="6.0378837692182898"/>
    <s v="Titan Industrial Group"/>
    <s v="Tech &amp; R&amp;D Center"/>
    <n v="22"/>
    <n v="564"/>
    <n v="1"/>
    <n v="99.466108603599096"/>
    <s v="Fail"/>
    <n v="239.30448929724065"/>
    <n v="3.9817718685065005E-3"/>
    <n v="0.39817718685065001"/>
    <x v="0"/>
    <s v="Americas Gateway"/>
    <n v="802.05631181755803"/>
    <n v="6284.9963845398725"/>
    <n v="0.88682794580745883"/>
    <n v="0.17635834858794167"/>
    <n v="28"/>
    <n v="8.7101449275362324"/>
    <n v="4010.2815590877899"/>
    <n v="3076.7711372696403"/>
  </r>
  <r>
    <s v="haircare"/>
    <s v="SKU22"/>
    <n v="27.679780886501899"/>
    <n v="24468.926303667678"/>
    <n v="22078.118437111509"/>
    <s v="Discount Applied"/>
    <n v="55"/>
    <n v="884"/>
    <n v="2390.8078665561702"/>
    <s v="Unknown"/>
    <n v="71"/>
    <n v="1"/>
    <n v="63"/>
    <n v="10"/>
    <x v="1"/>
    <n v="9.5676489209230393"/>
    <s v="Elite Quality Parts"/>
    <s v="East Gateway Hub"/>
    <n v="16"/>
    <n v="358"/>
    <n v="21"/>
    <n v="1.59722274305067"/>
    <s v="Fail"/>
    <n v="4341.4088240806195"/>
    <n v="4.9110959548423302E-2"/>
    <n v="4.9110959548423301"/>
    <x v="2"/>
    <s v="Americas Gateway"/>
    <n v="555.85910367174301"/>
    <n v="1834.9487628844272"/>
    <n v="0.76750155817730847"/>
    <n v="4.4615160420409779E-3"/>
    <n v="26"/>
    <n v="12.450704225352112"/>
    <n v="2779.2955183587151"/>
    <n v="-388.48765180254486"/>
  </r>
  <r>
    <s v="cosmetics"/>
    <s v="SKU23"/>
    <n v="4.3243411858641601"/>
    <n v="1690.8174036728865"/>
    <n v="-7167.5501673385934"/>
    <s v="Premium Markup"/>
    <n v="30"/>
    <n v="391"/>
    <n v="8858.3675710114803"/>
    <s v="Unknown"/>
    <n v="84"/>
    <n v="5"/>
    <n v="29"/>
    <n v="7"/>
    <x v="1"/>
    <n v="2.92485760114555"/>
    <s v="Titan Industrial Group"/>
    <s v="East Gateway Hub"/>
    <n v="24"/>
    <n v="867"/>
    <n v="28"/>
    <n v="42.084436738309897"/>
    <s v="Fail"/>
    <n v="1348.1927457410416"/>
    <n v="3.4480632883402598E-2"/>
    <n v="3.44806328834026"/>
    <x v="0"/>
    <s v="Indo-Pacific Corridor"/>
    <n v="393.84334857842703"/>
    <n v="8464.5242224330541"/>
    <n v="0.95553996315672685"/>
    <n v="4.8540296122618107E-2"/>
    <n v="31"/>
    <n v="4.6547619047619051"/>
    <n v="1969.2167428921352"/>
    <n v="6889.1508281193455"/>
  </r>
  <r>
    <s v="haircare"/>
    <s v="SKU24"/>
    <n v="4.1563083593111001"/>
    <n v="868.66844709601992"/>
    <n v="-8180.4094138438695"/>
    <s v="Premium Markup"/>
    <n v="32"/>
    <n v="209"/>
    <n v="9049.0778609398894"/>
    <s v="Male"/>
    <n v="4"/>
    <n v="26"/>
    <n v="2"/>
    <n v="8"/>
    <x v="2"/>
    <n v="9.7412916892843597"/>
    <s v="Precision Tech Solutions"/>
    <s v="East Gateway Hub"/>
    <n v="16"/>
    <n v="329"/>
    <n v="7"/>
    <n v="39.292875586065698"/>
    <s v="Pass"/>
    <n v="810.52267774699237"/>
    <n v="3.8780989365884803E-2"/>
    <n v="3.8780989365884802"/>
    <x v="0"/>
    <s v="Trans-Eurasian Hub"/>
    <n v="764.93537594070801"/>
    <n v="8284.1424849991818"/>
    <n v="0.91546814076575345"/>
    <n v="0.11943123278439421"/>
    <n v="24"/>
    <n v="52.25"/>
    <n v="3824.6768797035402"/>
    <n v="5224.4009812363493"/>
  </r>
  <r>
    <s v="haircare"/>
    <s v="SKU25"/>
    <n v="39.629343985092603"/>
    <n v="5627.3668458831498"/>
    <n v="3452.5897915324999"/>
    <s v="Discount Applied"/>
    <n v="73"/>
    <n v="142"/>
    <n v="2174.7770543506499"/>
    <s v="Male"/>
    <n v="82"/>
    <n v="11"/>
    <n v="52"/>
    <n v="3"/>
    <x v="2"/>
    <n v="2.2310736812817198"/>
    <s v="Elite Quality Parts"/>
    <s v="Northern Logistics Node"/>
    <n v="1"/>
    <n v="631"/>
    <n v="17"/>
    <n v="83.344058991677898"/>
    <s v="Pending"/>
    <n v="200.26935580279485"/>
    <n v="1.41034757607602E-2"/>
    <n v="1.41034757607602"/>
    <x v="1"/>
    <s v="Trans-Eurasian Hub"/>
    <n v="750.73784066827"/>
    <n v="1424.0392136823798"/>
    <n v="0.65479779218452938"/>
    <n v="0.13208250236399033"/>
    <n v="4"/>
    <n v="1.7317073170731707"/>
    <n v="3753.6892033413501"/>
    <n v="-1578.9121489907002"/>
  </r>
  <r>
    <s v="haircare"/>
    <s v="SKU26"/>
    <n v="97.446946617892806"/>
    <n v="34398.77215611616"/>
    <n v="30682.278830222131"/>
    <s v="Discount Applied"/>
    <n v="9"/>
    <n v="353"/>
    <n v="3716.49332589403"/>
    <s v="Male"/>
    <n v="59"/>
    <n v="16"/>
    <n v="48"/>
    <n v="4"/>
    <x v="0"/>
    <n v="6.5075486210785503"/>
    <s v="Precision Tech Solutions"/>
    <s v="Tech &amp; R&amp;D Center"/>
    <n v="2"/>
    <n v="258"/>
    <n v="10"/>
    <n v="30.661677477859499"/>
    <s v="Pending"/>
    <n v="733.79896457986092"/>
    <n v="2.0787506078749601E-2"/>
    <n v="2.07875060787496"/>
    <x v="0"/>
    <s v="Indo-Pacific Corridor"/>
    <n v="405.167067888855"/>
    <n v="3311.3262580051751"/>
    <n v="0.89098135463719985"/>
    <n v="0.11884371115449419"/>
    <n v="6"/>
    <n v="5.9830508474576272"/>
    <n v="2025.835339444275"/>
    <n v="1690.6579864497551"/>
  </r>
  <r>
    <s v="cosmetics"/>
    <s v="SKU27"/>
    <n v="92.557360812401996"/>
    <n v="32580.191005965502"/>
    <n v="29893.733782389521"/>
    <s v="Discount Applied"/>
    <n v="42"/>
    <n v="352"/>
    <n v="2686.4572235759802"/>
    <s v="Unknown"/>
    <n v="47"/>
    <n v="9"/>
    <n v="62"/>
    <n v="8"/>
    <x v="2"/>
    <n v="7.4067509529980704"/>
    <s v="Titan Industrial Group"/>
    <s v="South Asia Mfg Hub"/>
    <n v="29"/>
    <n v="309"/>
    <n v="6"/>
    <n v="65.686259608488598"/>
    <s v="Pass"/>
    <n v="1489.4586338841548"/>
    <n v="4.2314165735345306E-2"/>
    <n v="4.2314165735345304"/>
    <x v="1"/>
    <s v="Trans-Eurasian Hub"/>
    <n v="493.871215316205"/>
    <n v="2192.5860082597751"/>
    <n v="0.81616263568909309"/>
    <n v="0.2125768919368563"/>
    <n v="37"/>
    <n v="7.4893617021276597"/>
    <n v="2469.3560765810248"/>
    <n v="217.10114699495534"/>
  </r>
  <r>
    <s v="cosmetics"/>
    <s v="SKU28"/>
    <n v="2.3972747055971402"/>
    <n v="944.52623400527318"/>
    <n v="-5172.7983810787164"/>
    <s v="Premium Markup"/>
    <n v="12"/>
    <n v="394"/>
    <n v="6117.3246150839896"/>
    <s v="Female"/>
    <n v="48"/>
    <n v="15"/>
    <n v="24"/>
    <n v="4"/>
    <x v="0"/>
    <n v="9.8981405080692202"/>
    <s v="Apex Manufacturing Corp"/>
    <s v="Northern Logistics Node"/>
    <n v="28"/>
    <n v="177"/>
    <n v="28"/>
    <n v="14.1478154439792"/>
    <s v="Pass"/>
    <n v="1113.3707102476512"/>
    <n v="2.8258139854001302E-2"/>
    <n v="2.8258139854001301"/>
    <x v="2"/>
    <s v="Indo-Pacific Corridor"/>
    <n v="336.89016851997701"/>
    <n v="5780.4344465640124"/>
    <n v="0.94492851209999884"/>
    <n v="7.9931160700447451E-2"/>
    <n v="32"/>
    <n v="8.2083333333333339"/>
    <n v="1684.4508425998852"/>
    <n v="4432.8737724841048"/>
  </r>
  <r>
    <s v="cosmetics"/>
    <s v="SKU29"/>
    <n v="63.447559185207297"/>
    <n v="16052.232473857446"/>
    <n v="7733.3292792402754"/>
    <s v="Discount Applied"/>
    <n v="3"/>
    <n v="253"/>
    <n v="8318.9031946171708"/>
    <s v="Female"/>
    <n v="45"/>
    <n v="5"/>
    <n v="67"/>
    <n v="7"/>
    <x v="0"/>
    <n v="8.1009731453970293"/>
    <s v="Apex Manufacturing Corp"/>
    <s v="South Asia Mfg Hub"/>
    <n v="13"/>
    <n v="444"/>
    <n v="4"/>
    <n v="46.870238797617098"/>
    <s v="Fail"/>
    <n v="1168.9981543219662"/>
    <n v="4.6205460645137003E-2"/>
    <n v="4.6205460645137002"/>
    <x v="0"/>
    <s v="Indo-Pacific Corridor"/>
    <n v="866.472800129657"/>
    <n v="7452.4303944875137"/>
    <n v="0.89584290382290821"/>
    <n v="0.105563600895534"/>
    <n v="20"/>
    <n v="5.6222222222222218"/>
    <n v="4332.3640006482847"/>
    <n v="3986.5391939688861"/>
  </r>
  <r>
    <s v="haircare"/>
    <s v="SKU30"/>
    <n v="8.0228592105263896"/>
    <n v="2623.4749618421292"/>
    <n v="-142.8674050239506"/>
    <s v="Premium Markup"/>
    <n v="10"/>
    <n v="327"/>
    <n v="2766.3423668660798"/>
    <s v="Male"/>
    <n v="60"/>
    <n v="26"/>
    <n v="35"/>
    <n v="7"/>
    <x v="0"/>
    <n v="8.9545283153180097"/>
    <s v="Elite Quality Parts"/>
    <s v="Tech &amp; R&amp;D Center"/>
    <n v="5"/>
    <n v="228"/>
    <n v="12"/>
    <n v="57.870902924036201"/>
    <s v="Pending"/>
    <n v="54.240022186158811"/>
    <n v="1.65871627480608E-3"/>
    <n v="0.16587162748060799"/>
    <x v="1"/>
    <s v="Americas Gateway"/>
    <n v="351.50421933503799"/>
    <n v="2414.8381475310416"/>
    <n v="0.87293538806143922"/>
    <n v="0.25381974966682547"/>
    <n v="12"/>
    <n v="5.45"/>
    <n v="1757.5210966751899"/>
    <n v="1008.8212701908899"/>
  </r>
  <r>
    <s v="skincare"/>
    <s v="SKU31"/>
    <n v="50.847393051718697"/>
    <n v="8542.3620326887412"/>
    <n v="-1112.7730700306493"/>
    <s v="Premium Markup"/>
    <n v="28"/>
    <n v="168"/>
    <n v="9655.1351027193905"/>
    <s v="Male"/>
    <n v="6"/>
    <n v="17"/>
    <n v="44"/>
    <n v="4"/>
    <x v="0"/>
    <n v="2.6796609649813998"/>
    <s v="Global Source Logistics"/>
    <s v="Northern Logistics Node"/>
    <n v="12"/>
    <n v="908"/>
    <n v="14"/>
    <n v="60.387378614862101"/>
    <s v="Pass"/>
    <n v="245.88605974342536"/>
    <n v="1.4636074984727701E-2"/>
    <n v="1.4636074984727701"/>
    <x v="2"/>
    <s v="Trans-Eurasian Hub"/>
    <n v="846.66525698669398"/>
    <n v="8808.4698457326958"/>
    <n v="0.91230933094367272"/>
    <n v="6.6505923584649893E-2"/>
    <n v="16"/>
    <n v="28"/>
    <n v="4233.3262849334697"/>
    <n v="5421.8088177859208"/>
  </r>
  <r>
    <s v="skincare"/>
    <s v="SKU32"/>
    <n v="79.209936015656695"/>
    <n v="61862.960028227877"/>
    <n v="52291.409540900066"/>
    <s v="Discount Applied"/>
    <n v="43"/>
    <n v="781"/>
    <n v="9571.5504873278096"/>
    <s v="Unknown"/>
    <n v="89"/>
    <n v="13"/>
    <n v="64"/>
    <n v="4"/>
    <x v="2"/>
    <n v="6.5991049012385803"/>
    <s v="Global Source Logistics"/>
    <s v="East Gateway Hub"/>
    <n v="14"/>
    <n v="314"/>
    <n v="24"/>
    <n v="1.0850685695870601"/>
    <s v="Pending"/>
    <n v="781.71119367652545"/>
    <n v="1.00091061930413E-2"/>
    <n v="1.0009106193041299"/>
    <x v="3"/>
    <s v="Indo-Pacific Corridor"/>
    <n v="134.36909686103101"/>
    <n v="9437.1813904667779"/>
    <n v="0.98596161645504254"/>
    <n v="3.4556323872199368E-3"/>
    <n v="18"/>
    <n v="8.7752808988764048"/>
    <n v="671.84548430515508"/>
    <n v="8899.7050030226546"/>
  </r>
  <r>
    <s v="cosmetics"/>
    <s v="SKU33"/>
    <n v="64.795435000155607"/>
    <n v="39913.987960095852"/>
    <n v="34763.989609687822"/>
    <s v="Discount Applied"/>
    <n v="63"/>
    <n v="616"/>
    <n v="5149.9983504080301"/>
    <s v="Non-binary"/>
    <n v="4"/>
    <n v="17"/>
    <n v="95"/>
    <n v="9"/>
    <x v="2"/>
    <n v="4.85827050343664"/>
    <s v="Titan Industrial Group"/>
    <s v="East Gateway Hub"/>
    <n v="24"/>
    <n v="937"/>
    <n v="18"/>
    <n v="35.624741397125"/>
    <s v="Fail"/>
    <n v="2923.9355503190136"/>
    <n v="4.7466486206477497E-2"/>
    <n v="4.7466486206477496"/>
    <x v="2"/>
    <s v="Indo-Pacific Corridor"/>
    <n v="254.776159219286"/>
    <n v="4895.2221911887445"/>
    <n v="0.95052888527641954"/>
    <n v="3.8020001491061897E-2"/>
    <n v="33"/>
    <n v="154"/>
    <n v="1273.88079609643"/>
    <n v="3876.1175543116001"/>
  </r>
  <r>
    <s v="skincare"/>
    <s v="SKU34"/>
    <n v="37.467592329842397"/>
    <n v="22555.490582565122"/>
    <n v="13493.779687057402"/>
    <s v="Discount Applied"/>
    <n v="96"/>
    <n v="602"/>
    <n v="9061.7108955077201"/>
    <s v="Unknown"/>
    <n v="1"/>
    <n v="26"/>
    <n v="21"/>
    <n v="7"/>
    <x v="1"/>
    <n v="1.0194875708221101"/>
    <s v="Apex Manufacturing Corp"/>
    <s v="West Coast Hub (Port)"/>
    <n v="28"/>
    <n v="648"/>
    <n v="28"/>
    <n v="17.803756331391199"/>
    <s v="Pending"/>
    <n v="2330.9727042522422"/>
    <n v="3.8720476814821297E-2"/>
    <n v="3.8720476814821301"/>
    <x v="0"/>
    <s v="Indo-Pacific Corridor"/>
    <n v="188.74214114905601"/>
    <n v="8872.9687543586642"/>
    <n v="0.97917146736135408"/>
    <n v="2.7474932610171605E-2"/>
    <n v="35"/>
    <n v="602"/>
    <n v="943.71070574528005"/>
    <n v="8118.0001897624397"/>
  </r>
  <r>
    <s v="cosmetics"/>
    <s v="SKU35"/>
    <n v="84.957786816350406"/>
    <n v="38146.046280541334"/>
    <n v="31604.716935738874"/>
    <s v="Discount Applied"/>
    <n v="11"/>
    <n v="449"/>
    <n v="6541.3293448024597"/>
    <s v="Female"/>
    <n v="42"/>
    <n v="27"/>
    <n v="85"/>
    <n v="8"/>
    <x v="2"/>
    <n v="5.2881899903273997"/>
    <s v="Apex Manufacturing Corp"/>
    <s v="Northern Logistics Node"/>
    <n v="26"/>
    <n v="671"/>
    <n v="19"/>
    <n v="45.531364237162101"/>
    <s v="Fail"/>
    <n v="1708.6844872802642"/>
    <n v="3.8055333792433504E-2"/>
    <n v="3.8055333792433501"/>
    <x v="1"/>
    <s v="Americas Gateway"/>
    <n v="403.80897424817999"/>
    <n v="6137.5203705542799"/>
    <n v="0.93826805638993949"/>
    <n v="6.7855982469690171E-2"/>
    <n v="34"/>
    <n v="10.69047619047619"/>
    <n v="2019.0448712409"/>
    <n v="4522.2844735615599"/>
  </r>
  <r>
    <s v="skincare"/>
    <s v="SKU36"/>
    <n v="9.81300257875405"/>
    <n v="9449.9214833401493"/>
    <n v="1876.5190254914196"/>
    <s v="Discount Applied"/>
    <n v="34"/>
    <n v="963"/>
    <n v="7573.4024578487297"/>
    <s v="Female"/>
    <n v="18"/>
    <n v="23"/>
    <n v="28"/>
    <n v="3"/>
    <x v="0"/>
    <n v="2.1079512671590801"/>
    <s v="Precision Tech Solutions"/>
    <s v="West Coast Hub (Port)"/>
    <n v="13"/>
    <n v="769"/>
    <n v="8"/>
    <n v="11.423027139565599"/>
    <s v="Pending"/>
    <n v="2609.5977715388917"/>
    <n v="2.7098626911099603E-2"/>
    <n v="2.7098626911099601"/>
    <x v="3"/>
    <s v="Trans-Eurasian Hub"/>
    <n v="505.55713422546398"/>
    <n v="7067.8453236232654"/>
    <n v="0.93324570600344525"/>
    <n v="1.4854391598914954E-2"/>
    <n v="16"/>
    <n v="53.5"/>
    <n v="2527.7856711273198"/>
    <n v="5045.6167867214099"/>
  </r>
  <r>
    <s v="skincare"/>
    <s v="SKU37"/>
    <n v="23.3998447526143"/>
    <n v="22534.05049676757"/>
    <n v="20095.710566297548"/>
    <s v="Discount Applied"/>
    <n v="5"/>
    <n v="963"/>
    <n v="2438.3399304700201"/>
    <s v="Female"/>
    <n v="25"/>
    <n v="8"/>
    <n v="21"/>
    <n v="9"/>
    <x v="1"/>
    <n v="1.53265527359043"/>
    <s v="Global Source Logistics"/>
    <s v="West Coast Hub (Port)"/>
    <n v="23"/>
    <n v="517"/>
    <n v="30"/>
    <n v="33.616768953730002"/>
    <s v="Pending"/>
    <n v="4674.4675094123177"/>
    <n v="4.8540680263886998E-2"/>
    <n v="4.8540680263886999"/>
    <x v="0"/>
    <s v="Trans-Eurasian Hub"/>
    <n v="503.06557914966902"/>
    <n v="1935.2743513203511"/>
    <n v="0.79368521473841558"/>
    <n v="6.5022763933713743E-2"/>
    <n v="32"/>
    <n v="38.520000000000003"/>
    <n v="2515.3278957483453"/>
    <n v="-76.987965278325191"/>
  </r>
  <r>
    <s v="cosmetics"/>
    <s v="SKU38"/>
    <n v="52.075930682707799"/>
    <n v="36713.531131308999"/>
    <n v="27021.213091090569"/>
    <s v="Discount Applied"/>
    <n v="75"/>
    <n v="705"/>
    <n v="9692.3180402184298"/>
    <s v="Non-binary"/>
    <n v="69"/>
    <n v="1"/>
    <n v="88"/>
    <n v="5"/>
    <x v="0"/>
    <n v="9.2359314372492207"/>
    <s v="Titan Industrial Group"/>
    <s v="West Coast Hub (Port)"/>
    <n v="9"/>
    <n v="109"/>
    <n v="18"/>
    <n v="23.126363582464698"/>
    <s v="Fail"/>
    <n v="1197.169341203652"/>
    <n v="1.6981125407143999E-2"/>
    <n v="1.6981125407144"/>
    <x v="2"/>
    <s v="Trans-Eurasian Hub"/>
    <n v="768.65191395437"/>
    <n v="8923.6661262640591"/>
    <n v="0.9206947284679643"/>
    <n v="0.21216847323362109"/>
    <n v="14"/>
    <n v="10.217391304347826"/>
    <n v="3843.2595697718498"/>
    <n v="5849.05847044658"/>
  </r>
  <r>
    <s v="skincare"/>
    <s v="SKU39"/>
    <n v="19.127477265823199"/>
    <n v="3366.4359987848829"/>
    <n v="1453.970335684123"/>
    <s v="Discount Applied"/>
    <n v="26"/>
    <n v="176"/>
    <n v="1912.4656631007599"/>
    <s v="Female"/>
    <n v="78"/>
    <n v="29"/>
    <n v="34"/>
    <n v="3"/>
    <x v="1"/>
    <n v="5.5625037788303802"/>
    <s v="Precision Tech Solutions"/>
    <s v="West Coast Hub (Port)"/>
    <n v="18"/>
    <n v="450"/>
    <n v="26"/>
    <n v="58.890685768589897"/>
    <s v="Pending"/>
    <n v="213.11525480697057"/>
    <n v="1.21088212958506E-2"/>
    <n v="1.21088212958506"/>
    <x v="1"/>
    <s v="Indo-Pacific Corridor"/>
    <n v="778.86424137664699"/>
    <n v="1133.6014217241129"/>
    <n v="0.59274341160518296"/>
    <n v="0.13086819059686644"/>
    <n v="21"/>
    <n v="2.2564102564102564"/>
    <n v="3894.3212068832349"/>
    <n v="-1981.855543782475"/>
  </r>
  <r>
    <s v="skincare"/>
    <s v="SKU40"/>
    <n v="80.541424170940303"/>
    <n v="75145.148751487301"/>
    <n v="69420.189401031035"/>
    <s v="Discount Applied"/>
    <n v="97"/>
    <n v="933"/>
    <n v="5724.9593504562599"/>
    <s v="Female"/>
    <n v="90"/>
    <n v="20"/>
    <n v="39"/>
    <n v="8"/>
    <x v="2"/>
    <n v="7.2295951397364702"/>
    <s v="Apex Manufacturing Corp"/>
    <s v="Northern Logistics Node"/>
    <n v="7"/>
    <n v="834"/>
    <n v="18"/>
    <n v="22.554106620887701"/>
    <s v="Fail"/>
    <n v="2764.1303569844031"/>
    <n v="2.9626263204548801E-2"/>
    <n v="2.9626263204548802"/>
    <x v="2"/>
    <s v="Indo-Pacific Corridor"/>
    <n v="610.45326961922694"/>
    <n v="5114.5060808370326"/>
    <n v="0.89336985081464793"/>
    <n v="2.7043293310416907E-2"/>
    <n v="15"/>
    <n v="10.366666666666667"/>
    <n v="3052.2663480961346"/>
    <n v="2672.6930023601253"/>
  </r>
  <r>
    <s v="skincare"/>
    <s v="SKU41"/>
    <n v="99.113291615317095"/>
    <n v="55106.990138116307"/>
    <n v="49585.78487910534"/>
    <s v="Discount Applied"/>
    <n v="35"/>
    <n v="556"/>
    <n v="5521.2052590109697"/>
    <s v="Female"/>
    <n v="64"/>
    <n v="19"/>
    <n v="38"/>
    <n v="8"/>
    <x v="0"/>
    <n v="5.7732637437666501"/>
    <s v="Elite Quality Parts"/>
    <s v="East Gateway Hub"/>
    <n v="10"/>
    <n v="964"/>
    <n v="20"/>
    <n v="19.7129929112936"/>
    <s v="Pending"/>
    <n v="211.59891421254642"/>
    <n v="3.8057358671321302E-3"/>
    <n v="0.38057358671321301"/>
    <x v="2"/>
    <s v="Indo-Pacific Corridor"/>
    <n v="581.60235505058597"/>
    <n v="4939.6029039603836"/>
    <n v="0.89466025482364153"/>
    <n v="2.0449162771051452E-2"/>
    <n v="18"/>
    <n v="8.6875"/>
    <n v="2908.01177525293"/>
    <n v="2613.1934837580397"/>
  </r>
  <r>
    <s v="skincare"/>
    <s v="SKU42"/>
    <n v="46.529167614516702"/>
    <n v="7212.0209802500885"/>
    <n v="5372.4115543933285"/>
    <s v="Discount Applied"/>
    <n v="98"/>
    <n v="155"/>
    <n v="1839.60942585676"/>
    <s v="Female"/>
    <n v="22"/>
    <n v="27"/>
    <n v="57"/>
    <n v="4"/>
    <x v="2"/>
    <n v="7.5262483268515004"/>
    <s v="Titan Industrial Group"/>
    <s v="South Asia Mfg Hub"/>
    <n v="19"/>
    <n v="791"/>
    <n v="4"/>
    <n v="61.735728954160898"/>
    <s v="Pending"/>
    <n v="2.8841729828073093"/>
    <n v="1.8607567631014898E-4"/>
    <n v="1.8607567631014899E-2"/>
    <x v="1"/>
    <s v="Americas Gateway"/>
    <n v="523.36091472015801"/>
    <n v="1316.248511136602"/>
    <n v="0.71550433077585829"/>
    <n v="7.8047697792870921E-2"/>
    <n v="23"/>
    <n v="7.0454545454545459"/>
    <n v="2616.8045736007898"/>
    <n v="-777.19514774402978"/>
  </r>
  <r>
    <s v="haircare"/>
    <s v="SKU43"/>
    <n v="11.7432717763092"/>
    <n v="7022.4765222329015"/>
    <n v="1285.0509231138813"/>
    <s v="Discount Applied"/>
    <n v="6"/>
    <n v="598"/>
    <n v="5737.4255991190203"/>
    <s v="Unknown"/>
    <n v="36"/>
    <n v="29"/>
    <n v="85"/>
    <n v="9"/>
    <x v="0"/>
    <n v="3.6940212683884499"/>
    <s v="Titan Industrial Group"/>
    <s v="Tech &amp; R&amp;D Center"/>
    <n v="22"/>
    <n v="775"/>
    <n v="16"/>
    <n v="11.440781823761199"/>
    <s v="Pass"/>
    <n v="1094.6842079701137"/>
    <n v="1.8305755986122302E-2"/>
    <n v="1.8305755986122301"/>
    <x v="0"/>
    <s v="Americas Gateway"/>
    <n v="183.27289874871099"/>
    <n v="5554.1527003703095"/>
    <n v="0.96805659688609258"/>
    <n v="1.4762299127433806E-2"/>
    <n v="31"/>
    <n v="16.611111111111111"/>
    <n v="916.36449374355493"/>
    <n v="4821.0611053754656"/>
  </r>
  <r>
    <s v="cosmetics"/>
    <s v="SKU44"/>
    <n v="51.355790913110297"/>
    <n v="47195.971849148365"/>
    <n v="40043.685799712854"/>
    <s v="Discount Applied"/>
    <n v="34"/>
    <n v="919"/>
    <n v="7152.28604943551"/>
    <s v="Female"/>
    <n v="13"/>
    <n v="19"/>
    <n v="72"/>
    <n v="6"/>
    <x v="2"/>
    <n v="7.5774496573766896"/>
    <s v="Precision Tech Solutions"/>
    <s v="East Gateway Hub"/>
    <n v="14"/>
    <n v="480"/>
    <n v="12"/>
    <n v="78.702393968878894"/>
    <s v="Fail"/>
    <n v="4013.7054246104412"/>
    <n v="4.3674705382050504E-2"/>
    <n v="4.3674705382050503"/>
    <x v="1"/>
    <s v="Indo-Pacific Corridor"/>
    <n v="164.366528243419"/>
    <n v="6987.9195211920905"/>
    <n v="0.97701902201515112"/>
    <n v="0.16396332076849771"/>
    <n v="20"/>
    <n v="70.692307692307693"/>
    <n v="821.83264121709499"/>
    <n v="6330.4534082184146"/>
  </r>
  <r>
    <s v="haircare"/>
    <s v="SKU45"/>
    <n v="33.784138033065503"/>
    <n v="810.81931279357207"/>
    <n v="-4457.1374947169479"/>
    <s v="Premium Markup"/>
    <n v="1"/>
    <n v="24"/>
    <n v="5267.9568075105199"/>
    <s v="Male"/>
    <n v="93"/>
    <n v="7"/>
    <n v="52"/>
    <n v="6"/>
    <x v="0"/>
    <n v="5.2151550087119096"/>
    <s v="Precision Tech Solutions"/>
    <s v="Northern Logistics Node"/>
    <n v="3"/>
    <n v="367"/>
    <n v="2"/>
    <n v="58.004787044743701"/>
    <s v="Pass"/>
    <n v="12.987698353453943"/>
    <n v="5.4115409806058104E-3"/>
    <n v="0.54115409806058101"/>
    <x v="3"/>
    <s v="Americas Gateway"/>
    <n v="553.42047123035502"/>
    <n v="4714.5363362801645"/>
    <n v="0.89494589810581882"/>
    <n v="0.15805119085761227"/>
    <n v="9"/>
    <n v="0.25806451612903225"/>
    <n v="2767.102356151775"/>
    <n v="2500.8544513587449"/>
  </r>
  <r>
    <s v="haircare"/>
    <s v="SKU46"/>
    <n v="27.082207199888899"/>
    <n v="23263.615984704564"/>
    <n v="20706.848624070975"/>
    <s v="Discount Applied"/>
    <n v="75"/>
    <n v="859"/>
    <n v="2556.7673606335902"/>
    <s v="Non-binary"/>
    <n v="92"/>
    <n v="29"/>
    <n v="6"/>
    <n v="8"/>
    <x v="0"/>
    <n v="4.0709558370840799"/>
    <s v="Global Source Logistics"/>
    <s v="Tech &amp; R&amp;D Center"/>
    <n v="3"/>
    <n v="399"/>
    <n v="21"/>
    <n v="77.106342497849994"/>
    <s v="Pass"/>
    <n v="869.79169367265627"/>
    <n v="1.01256308925804E-2"/>
    <n v="1.01256308925804"/>
    <x v="1"/>
    <s v="Indo-Pacific Corridor"/>
    <n v="865.52577977123997"/>
    <n v="1691.2415808623502"/>
    <n v="0.66147652183859429"/>
    <n v="0.19324897869135338"/>
    <n v="11"/>
    <n v="9.3369565217391308"/>
    <n v="4327.6288988562001"/>
    <n v="-1770.8615382226099"/>
  </r>
  <r>
    <s v="skincare"/>
    <s v="SKU47"/>
    <n v="95.712135880936003"/>
    <n v="87098.043651651766"/>
    <n v="80008.569401717585"/>
    <s v="Discount Applied"/>
    <n v="93"/>
    <n v="910"/>
    <n v="7089.4742499341801"/>
    <s v="Male"/>
    <n v="4"/>
    <n v="15"/>
    <n v="51"/>
    <n v="9"/>
    <x v="0"/>
    <n v="8.9787507559499709"/>
    <s v="Apex Manufacturing Corp"/>
    <s v="East Gateway Hub"/>
    <n v="28"/>
    <n v="362"/>
    <n v="11"/>
    <n v="27.5923630866636"/>
    <s v="Pending"/>
    <n v="19.264537449424814"/>
    <n v="2.11698213729943E-4"/>
    <n v="2.1169821372994301E-2"/>
    <x v="1"/>
    <s v="Indo-Pacific Corridor"/>
    <n v="126.72303340940699"/>
    <n v="6962.7512165247726"/>
    <n v="0.9821251860234087"/>
    <n v="7.6221997476971268E-2"/>
    <n v="37"/>
    <n v="227.5"/>
    <n v="633.61516704703502"/>
    <n v="6455.8590828871447"/>
  </r>
  <r>
    <s v="haircare"/>
    <s v="SKU48"/>
    <n v="76.035544426891704"/>
    <n v="2205.0307883798596"/>
    <n v="-5192.0402162073206"/>
    <s v="Premium Markup"/>
    <n v="28"/>
    <n v="29"/>
    <n v="7397.0710045871801"/>
    <s v="Non-binary"/>
    <n v="30"/>
    <n v="16"/>
    <n v="9"/>
    <n v="3"/>
    <x v="2"/>
    <n v="7.0958331565551296"/>
    <s v="Precision Tech Solutions"/>
    <s v="East Gateway Hub"/>
    <n v="26"/>
    <n v="497"/>
    <n v="29"/>
    <n v="30.186023375822501"/>
    <s v="Pass"/>
    <n v="71.884387290652469"/>
    <n v="2.4787719755397401E-2"/>
    <n v="2.4787719755397402"/>
    <x v="0"/>
    <s v="Trans-Eurasian Hub"/>
    <n v="814.06999658218695"/>
    <n v="6583.0010080049933"/>
    <n v="0.88994698089590407"/>
    <n v="6.0736465544914485E-2"/>
    <n v="29"/>
    <n v="0.96666666666666667"/>
    <n v="4070.3499829109346"/>
    <n v="3326.7210216762455"/>
  </r>
  <r>
    <s v="cosmetics"/>
    <s v="SKU49"/>
    <n v="78.897913205639995"/>
    <n v="7810.8934073583596"/>
    <n v="-190.71979916064083"/>
    <s v="Premium Markup"/>
    <n v="19"/>
    <n v="99"/>
    <n v="8001.6132065190004"/>
    <s v="Unknown"/>
    <n v="97"/>
    <n v="24"/>
    <n v="9"/>
    <n v="6"/>
    <x v="2"/>
    <n v="2.5056210329009101"/>
    <s v="Titan Industrial Group"/>
    <s v="West Coast Hub (Port)"/>
    <n v="13"/>
    <n v="171"/>
    <n v="7"/>
    <n v="59.429381810691503"/>
    <s v="Fail"/>
    <n v="80.759950850271522"/>
    <n v="8.1575707929567205E-3"/>
    <n v="0.81575707929567198"/>
    <x v="1"/>
    <s v="Indo-Pacific Corridor"/>
    <n v="123.437027511827"/>
    <n v="7878.1761790071732"/>
    <n v="0.98457348233088027"/>
    <n v="0.34754024450696785"/>
    <n v="19"/>
    <n v="1.0206185567010309"/>
    <n v="617.185137559135"/>
    <n v="7384.4280689598654"/>
  </r>
  <r>
    <s v="cosmetics"/>
    <s v="SKU50"/>
    <n v="14.203484264803"/>
    <n v="8990.8055396202999"/>
    <n v="3079.9201499514102"/>
    <s v="Discount Applied"/>
    <n v="91"/>
    <n v="633"/>
    <n v="5910.8853896688897"/>
    <s v="Female"/>
    <n v="31"/>
    <n v="23"/>
    <n v="82"/>
    <n v="10"/>
    <x v="1"/>
    <n v="6.2478609149759903"/>
    <s v="Precision Tech Solutions"/>
    <s v="East Gateway Hub"/>
    <n v="23"/>
    <n v="370"/>
    <n v="11"/>
    <n v="46.603873381644398"/>
    <s v="Pending"/>
    <n v="1207.5524095960914"/>
    <n v="1.90766573395907E-2"/>
    <n v="1.9076657339590699"/>
    <x v="2"/>
    <s v="Trans-Eurasian Hub"/>
    <n v="517.49997392906005"/>
    <n v="5393.38541573983"/>
    <n v="0.9124496687359982"/>
    <n v="0.12595641454498485"/>
    <n v="33"/>
    <n v="20.419354838709676"/>
    <n v="2587.4998696453004"/>
    <n v="3323.3855200235894"/>
  </r>
  <r>
    <s v="haircare"/>
    <s v="SKU51"/>
    <n v="26.700760972461701"/>
    <n v="4111.9171897591023"/>
    <n v="-5754.5482682205875"/>
    <s v="Premium Markup"/>
    <n v="61"/>
    <n v="154"/>
    <n v="9866.4654579796897"/>
    <s v="Male"/>
    <n v="100"/>
    <n v="4"/>
    <n v="52"/>
    <n v="1"/>
    <x v="1"/>
    <n v="4.78300055794766"/>
    <s v="Titan Industrial Group"/>
    <s v="Northern Logistics Node"/>
    <n v="20"/>
    <n v="306"/>
    <n v="21"/>
    <n v="45.178757924634503"/>
    <s v="Fail"/>
    <n v="732.23932391936171"/>
    <n v="4.7548008046711797E-2"/>
    <n v="4.7548008046711798"/>
    <x v="2"/>
    <s v="Trans-Eurasian Hub"/>
    <n v="496.24865029194001"/>
    <n v="9370.2168076877497"/>
    <n v="0.94970350300161543"/>
    <n v="0.14764299975370754"/>
    <n v="21"/>
    <n v="1.54"/>
    <n v="2481.2432514596999"/>
    <n v="7385.2222065199894"/>
  </r>
  <r>
    <s v="skincare"/>
    <s v="SKU52"/>
    <n v="98.031829656465007"/>
    <n v="80386.100318301309"/>
    <n v="70950.337709389176"/>
    <s v="Discount Applied"/>
    <n v="1"/>
    <n v="820"/>
    <n v="9435.7626089121295"/>
    <s v="Male"/>
    <n v="64"/>
    <n v="11"/>
    <n v="11"/>
    <n v="1"/>
    <x v="0"/>
    <n v="8.6310521797689397"/>
    <s v="Apex Manufacturing Corp"/>
    <s v="West Coast Hub (Port)"/>
    <n v="1"/>
    <n v="206"/>
    <n v="23"/>
    <n v="26.2773659573324"/>
    <s v="Pending"/>
    <n v="305.28990974777952"/>
    <n v="3.72304767985097E-3"/>
    <n v="0.37230476798509698"/>
    <x v="1"/>
    <s v="Indo-Pacific Corridor"/>
    <n v="716.04411975933999"/>
    <n v="8719.7184891527904"/>
    <n v="0.92411380516472175"/>
    <n v="0.12756002891908932"/>
    <n v="2"/>
    <n v="12.8125"/>
    <n v="3580.2205987967"/>
    <n v="5855.5420101154295"/>
  </r>
  <r>
    <s v="skincare"/>
    <s v="SKU53"/>
    <n v="30.3414707112142"/>
    <n v="7342.6359121138366"/>
    <n v="-889.69891731198277"/>
    <s v="Premium Markup"/>
    <n v="93"/>
    <n v="242"/>
    <n v="8232.3348294258194"/>
    <s v="Male"/>
    <n v="96"/>
    <n v="25"/>
    <n v="54"/>
    <n v="3"/>
    <x v="0"/>
    <n v="1.0134865660958901"/>
    <s v="Apex Manufacturing Corp"/>
    <s v="East Gateway Hub"/>
    <n v="18"/>
    <n v="793"/>
    <n v="1"/>
    <n v="88.179407104217404"/>
    <s v="Pending"/>
    <n v="1019.6112022019474"/>
    <n v="4.2132694305865595E-2"/>
    <n v="4.2132694305865597"/>
    <x v="0"/>
    <s v="Indo-Pacific Corridor"/>
    <n v="529.80872398069096"/>
    <n v="7702.5261054451285"/>
    <n v="0.93564295731911529"/>
    <n v="0.11119723468375461"/>
    <n v="21"/>
    <n v="2.5208333333333335"/>
    <n v="2649.0436199034548"/>
    <n v="5583.2912095223646"/>
  </r>
  <r>
    <s v="haircare"/>
    <s v="SKU54"/>
    <n v="31.1462431602408"/>
    <n v="19372.963245669776"/>
    <n v="13284.941765728927"/>
    <s v="Discount Applied"/>
    <n v="11"/>
    <n v="622"/>
    <n v="6088.0214799408504"/>
    <s v="Non-binary"/>
    <n v="33"/>
    <n v="22"/>
    <n v="61"/>
    <n v="3"/>
    <x v="0"/>
    <n v="4.3051034712876302"/>
    <s v="Apex Manufacturing Corp"/>
    <s v="Northern Logistics Node"/>
    <n v="1"/>
    <n v="919"/>
    <n v="9"/>
    <n v="80.580852156447804"/>
    <s v="Fail"/>
    <n v="246.69311439637954"/>
    <n v="3.9661272410993495E-3"/>
    <n v="0.39661272410993498"/>
    <x v="2"/>
    <s v="Indo-Pacific Corridor"/>
    <n v="341.55265678322297"/>
    <n v="5746.4688231576274"/>
    <n v="0.94389759334644441"/>
    <n v="8.7683190594611327E-2"/>
    <n v="4"/>
    <n v="18.848484848484848"/>
    <n v="1707.7632839161149"/>
    <n v="4380.2581960247353"/>
  </r>
  <r>
    <s v="haircare"/>
    <s v="SKU55"/>
    <n v="79.855058340789398"/>
    <n v="55978.395896893366"/>
    <n v="53052.720726589556"/>
    <s v="Discount Applied"/>
    <n v="16"/>
    <n v="701"/>
    <n v="2925.6751703038099"/>
    <s v="Male"/>
    <n v="97"/>
    <n v="11"/>
    <n v="11"/>
    <n v="5"/>
    <x v="1"/>
    <n v="5.0143649550309002"/>
    <s v="Precision Tech Solutions"/>
    <s v="South Asia Mfg Hub"/>
    <n v="18"/>
    <n v="892"/>
    <n v="7"/>
    <n v="95.332064548772493"/>
    <s v="Fail"/>
    <n v="31.756885941179981"/>
    <n v="4.5302262398259604E-4"/>
    <n v="4.5302262398259602E-2"/>
    <x v="3"/>
    <s v="Indo-Pacific Corridor"/>
    <n v="275.52437113130901"/>
    <n v="2650.1507991725007"/>
    <n v="0.90582537189092727"/>
    <n v="0.10687451182597812"/>
    <n v="23"/>
    <n v="7.2268041237113403"/>
    <n v="1377.621855656545"/>
    <n v="1548.0533146472649"/>
  </r>
  <r>
    <s v="skincare"/>
    <s v="SKU56"/>
    <n v="20.9863860370433"/>
    <n v="1951.733901445027"/>
    <n v="-2815.2865828991025"/>
    <s v="Premium Markup"/>
    <n v="90"/>
    <n v="93"/>
    <n v="4767.0204843441297"/>
    <s v="Non-binary"/>
    <n v="25"/>
    <n v="23"/>
    <n v="83"/>
    <n v="5"/>
    <x v="2"/>
    <n v="1.77442971407173"/>
    <s v="Apex Manufacturing Corp"/>
    <s v="Tech &amp; R&amp;D Center"/>
    <n v="14"/>
    <n v="580"/>
    <n v="7"/>
    <n v="97.121281751474299"/>
    <s v="Pass"/>
    <n v="210.58973579146425"/>
    <n v="2.2644057611985402E-2"/>
    <n v="2.2644057611985402"/>
    <x v="3"/>
    <s v="Trans-Eurasian Hub"/>
    <n v="127.861800001625"/>
    <n v="4639.1586843425048"/>
    <n v="0.97317783709519412"/>
    <n v="0.16745048577840396"/>
    <n v="19"/>
    <n v="3.72"/>
    <n v="639.30900000812494"/>
    <n v="4127.711484336005"/>
  </r>
  <r>
    <s v="haircare"/>
    <s v="SKU57"/>
    <n v="49.263205350734097"/>
    <n v="11182.747614616641"/>
    <n v="9576.8807142242404"/>
    <s v="Discount Applied"/>
    <n v="65"/>
    <n v="227"/>
    <n v="1605.8669003924001"/>
    <s v="Unknown"/>
    <n v="5"/>
    <n v="18"/>
    <n v="51"/>
    <n v="1"/>
    <x v="0"/>
    <n v="9.1605585353818704"/>
    <s v="Precision Tech Solutions"/>
    <s v="Tech &amp; R&amp;D Center"/>
    <n v="25"/>
    <n v="985"/>
    <n v="24"/>
    <n v="64.323597795600193"/>
    <s v="Pending"/>
    <n v="494.86850150916166"/>
    <n v="2.1800374515822098E-2"/>
    <n v="2.1800374515822099"/>
    <x v="2"/>
    <s v="Indo-Pacific Corridor"/>
    <n v="997.41345013319403"/>
    <n v="608.45345025920608"/>
    <n v="0.3788940727967729"/>
    <n v="6.530314497015248E-2"/>
    <n v="26"/>
    <n v="45.4"/>
    <n v="4987.0672506659703"/>
    <n v="-3381.2003502735702"/>
  </r>
  <r>
    <s v="skincare"/>
    <s v="SKU58"/>
    <n v="59.841561377289302"/>
    <n v="53618.038994051218"/>
    <n v="51596.88918371412"/>
    <s v="Discount Applied"/>
    <n v="81"/>
    <n v="896"/>
    <n v="2021.1498103371"/>
    <s v="Non-binary"/>
    <n v="10"/>
    <n v="5"/>
    <n v="44"/>
    <n v="7"/>
    <x v="1"/>
    <n v="4.9384385647120901"/>
    <s v="Global Source Logistics"/>
    <s v="South Asia Mfg Hub"/>
    <n v="25"/>
    <n v="794"/>
    <n v="25"/>
    <n v="66.312544439991598"/>
    <s v="Pass"/>
    <n v="2884.7657324273537"/>
    <n v="3.2196046120841003E-2"/>
    <n v="3.2196046120841002"/>
    <x v="2"/>
    <s v="Indo-Pacific Corridor"/>
    <n v="495.30569702847299"/>
    <n v="1525.8441133086271"/>
    <n v="0.75493865200132659"/>
    <n v="8.35170584886544E-2"/>
    <n v="32"/>
    <n v="89.6"/>
    <n v="2476.5284851423648"/>
    <n v="-455.37867480526484"/>
  </r>
  <r>
    <s v="cosmetics"/>
    <s v="SKU59"/>
    <n v="63.828398347710902"/>
    <n v="30892.944800292076"/>
    <n v="29831.326277278797"/>
    <s v="Discount Applied"/>
    <n v="30"/>
    <n v="484"/>
    <n v="1061.6185230132801"/>
    <s v="Non-binary"/>
    <n v="100"/>
    <n v="16"/>
    <n v="26"/>
    <n v="7"/>
    <x v="0"/>
    <n v="7.2937225968677204"/>
    <s v="Apex Manufacturing Corp"/>
    <s v="South Asia Mfg Hub"/>
    <n v="1"/>
    <n v="251"/>
    <n v="23"/>
    <n v="23.853427512896101"/>
    <s v="Fail"/>
    <n v="1713.8662699294453"/>
    <n v="3.5410460122509202E-2"/>
    <n v="3.54104601225092"/>
    <x v="3"/>
    <s v="Indo-Pacific Corridor"/>
    <n v="371.25529551987103"/>
    <n v="690.36322749340911"/>
    <n v="0.65029312557009067"/>
    <n v="9.5033575748590046E-2"/>
    <n v="8"/>
    <n v="4.84"/>
    <n v="1856.2764775993551"/>
    <n v="-794.65795458607499"/>
  </r>
  <r>
    <s v="skincare"/>
    <s v="SKU60"/>
    <n v="17.028027920188698"/>
    <n v="6470.6506096717058"/>
    <n v="-2393.4337399147244"/>
    <s v="Premium Markup"/>
    <n v="16"/>
    <n v="380"/>
    <n v="8864.0843495864301"/>
    <s v="Female"/>
    <n v="41"/>
    <n v="27"/>
    <n v="72"/>
    <n v="8"/>
    <x v="2"/>
    <n v="4.3813681581023101"/>
    <s v="Elite Quality Parts"/>
    <s v="South Asia Mfg Hub"/>
    <n v="27"/>
    <n v="523"/>
    <n v="17"/>
    <n v="28.696996824143099"/>
    <s v="Fail"/>
    <n v="1403.6203593789226"/>
    <n v="3.6937377878392699E-2"/>
    <n v="3.6937377878392699"/>
    <x v="3"/>
    <s v="Trans-Eurasian Hub"/>
    <n v="879.35921773492396"/>
    <n v="7984.7251318515064"/>
    <n v="0.90079525610832534"/>
    <n v="5.4869974807156975E-2"/>
    <n v="35"/>
    <n v="9.2682926829268286"/>
    <n v="4396.7960886746196"/>
    <n v="4467.2882609118105"/>
  </r>
  <r>
    <s v="haircare"/>
    <s v="SKU61"/>
    <n v="52.028749903294901"/>
    <n v="6087.3637386855034"/>
    <n v="-798.22561221074648"/>
    <s v="Premium Markup"/>
    <n v="23"/>
    <n v="117"/>
    <n v="6885.5893508962499"/>
    <s v="Unknown"/>
    <n v="32"/>
    <n v="23"/>
    <n v="36"/>
    <n v="7"/>
    <x v="2"/>
    <n v="9.0303404225219399"/>
    <s v="Elite Quality Parts"/>
    <s v="South Asia Mfg Hub"/>
    <n v="29"/>
    <n v="963"/>
    <n v="23"/>
    <n v="47.957601634951502"/>
    <s v="Pending"/>
    <n v="449.81989401580682"/>
    <n v="3.8446144787675801E-2"/>
    <n v="3.8446144787675798"/>
    <x v="2"/>
    <s v="Trans-Eurasian Hub"/>
    <n v="995.92946149864099"/>
    <n v="5889.6598893976088"/>
    <n v="0.85536031692494008"/>
    <n v="4.9800209382088789E-2"/>
    <n v="36"/>
    <n v="3.65625"/>
    <n v="4979.6473074932046"/>
    <n v="1905.9420434030453"/>
  </r>
  <r>
    <s v="cosmetics"/>
    <s v="SKU62"/>
    <n v="72.796353955587307"/>
    <n v="19655.015568008574"/>
    <n v="15755.268734279354"/>
    <s v="Discount Applied"/>
    <n v="89"/>
    <n v="270"/>
    <n v="3899.7468337292198"/>
    <s v="Unknown"/>
    <n v="86"/>
    <n v="2"/>
    <n v="40"/>
    <n v="7"/>
    <x v="2"/>
    <n v="7.2917013887767697"/>
    <s v="Precision Tech Solutions"/>
    <s v="West Coast Hub (Port)"/>
    <n v="24"/>
    <n v="826"/>
    <n v="28"/>
    <n v="12.8362845728327"/>
    <s v="Pass"/>
    <n v="316.91398375461154"/>
    <n v="1.1737554953874501E-2"/>
    <n v="1.1737554953874501"/>
    <x v="1"/>
    <s v="Trans-Eurasian Hub"/>
    <n v="832.210808706021"/>
    <n v="3067.5360250231988"/>
    <n v="0.7865987603328084"/>
    <n v="1.5540296093017795E-2"/>
    <n v="31"/>
    <n v="3.13953488372093"/>
    <n v="4161.0540435301045"/>
    <n v="-261.30720980088472"/>
  </r>
  <r>
    <s v="skincare"/>
    <s v="SKU63"/>
    <n v="13.0173767852878"/>
    <n v="3202.2746891807988"/>
    <n v="-1054.6744516694212"/>
    <s v="Premium Markup"/>
    <n v="55"/>
    <n v="246"/>
    <n v="4256.9491408502199"/>
    <s v="Non-binary"/>
    <n v="54"/>
    <n v="19"/>
    <n v="10"/>
    <n v="4"/>
    <x v="1"/>
    <n v="2.45793352798733"/>
    <s v="Global Source Logistics"/>
    <s v="South Asia Mfg Hub"/>
    <n v="21"/>
    <n v="824"/>
    <n v="20"/>
    <n v="35.633652343343797"/>
    <s v="Fail"/>
    <n v="1024.7823216743384"/>
    <n v="4.1657817954241401E-2"/>
    <n v="4.1657817954241398"/>
    <x v="1"/>
    <s v="Indo-Pacific Corridor"/>
    <n v="823.52384588815505"/>
    <n v="3433.425294962065"/>
    <n v="0.80654599840399399"/>
    <n v="4.3244723717650237E-2"/>
    <n v="25"/>
    <n v="4.5555555555555554"/>
    <n v="4117.6192294407756"/>
    <n v="139.32991140944432"/>
  </r>
  <r>
    <s v="skincare"/>
    <s v="SKU64"/>
    <n v="89.634095608135297"/>
    <n v="12010.968811490129"/>
    <n v="3552.2379331229586"/>
    <s v="Discount Applied"/>
    <n v="11"/>
    <n v="134"/>
    <n v="8458.7308783671706"/>
    <s v="Female"/>
    <n v="73"/>
    <n v="27"/>
    <n v="75"/>
    <n v="6"/>
    <x v="2"/>
    <n v="4.5853534681946497"/>
    <s v="Apex Manufacturing Corp"/>
    <s v="Northern Logistics Node"/>
    <n v="28"/>
    <n v="698"/>
    <n v="1"/>
    <n v="19.789592941903599"/>
    <s v="Pending"/>
    <n v="341.37131428752713"/>
    <n v="2.54754712154871E-2"/>
    <n v="2.54754712154871"/>
    <x v="2"/>
    <s v="Trans-Eurasian Hub"/>
    <n v="276.77833594679799"/>
    <n v="8181.952542420373"/>
    <n v="0.96727897601581747"/>
    <n v="2.8351852352297421E-2"/>
    <n v="34"/>
    <n v="1.8356164383561644"/>
    <n v="1383.89167973399"/>
    <n v="7074.8391986331808"/>
  </r>
  <r>
    <s v="skincare"/>
    <s v="SKU65"/>
    <n v="33.697717206643098"/>
    <n v="15399.856763435895"/>
    <n v="7045.2770769539056"/>
    <s v="Discount Applied"/>
    <n v="72"/>
    <n v="457"/>
    <n v="8354.5796864819895"/>
    <s v="Male"/>
    <n v="57"/>
    <n v="24"/>
    <n v="54"/>
    <n v="8"/>
    <x v="2"/>
    <n v="6.5805413478845898"/>
    <s v="Titan Industrial Group"/>
    <s v="West Coast Hub (Port)"/>
    <n v="10"/>
    <n v="535"/>
    <n v="13"/>
    <n v="65.765155926367399"/>
    <s v="Fail"/>
    <n v="1542.9406904661168"/>
    <n v="3.3762378347179794E-2"/>
    <n v="3.3762378347179798"/>
    <x v="0"/>
    <s v="Indo-Pacific Corridor"/>
    <n v="540.13242286796697"/>
    <n v="7814.4472636140226"/>
    <n v="0.93534894116314182"/>
    <n v="0.12292552509601383"/>
    <n v="18"/>
    <n v="8.0175438596491233"/>
    <n v="2700.6621143398347"/>
    <n v="5653.9175721421543"/>
  </r>
  <r>
    <s v="skincare"/>
    <s v="SKU66"/>
    <n v="26.034869773962001"/>
    <n v="18328.548320869249"/>
    <n v="9960.8267028490991"/>
    <s v="Discount Applied"/>
    <n v="52"/>
    <n v="704"/>
    <n v="8367.7216180201503"/>
    <s v="Female"/>
    <n v="13"/>
    <n v="17"/>
    <n v="19"/>
    <n v="8"/>
    <x v="1"/>
    <n v="2.2161427287713602"/>
    <s v="Titan Industrial Group"/>
    <s v="Tech &amp; R&amp;D Center"/>
    <n v="18"/>
    <n v="736"/>
    <n v="10"/>
    <n v="20.075003975630398"/>
    <s v="Pending"/>
    <n v="2557.5216764290199"/>
    <n v="3.6328432903821303E-2"/>
    <n v="3.6328432903821302"/>
    <x v="3"/>
    <s v="Indo-Pacific Corridor"/>
    <n v="687.28617786641701"/>
    <n v="7680.435440153733"/>
    <n v="0.91786459812593135"/>
    <n v="2.727582061906304E-2"/>
    <n v="26"/>
    <n v="54.153846153846153"/>
    <n v="3436.4308893320849"/>
    <n v="4931.2907286880654"/>
  </r>
  <r>
    <s v="skincare"/>
    <s v="SKU67"/>
    <n v="87.755432354001002"/>
    <n v="45018.536797602515"/>
    <n v="35544.738765094182"/>
    <s v="Discount Applied"/>
    <n v="16"/>
    <n v="513"/>
    <n v="9473.7980325083299"/>
    <s v="Unknown"/>
    <n v="12"/>
    <n v="9"/>
    <n v="71"/>
    <n v="9"/>
    <x v="2"/>
    <n v="9.1478115447106294"/>
    <s v="Apex Manufacturing Corp"/>
    <s v="Tech &amp; R&amp;D Center"/>
    <n v="23"/>
    <n v="173"/>
    <n v="10"/>
    <n v="97.829050110173199"/>
    <s v="Pending"/>
    <n v="836.74108002669482"/>
    <n v="1.6310742300715299E-2"/>
    <n v="1.63107423007153"/>
    <x v="0"/>
    <s v="Trans-Eurasian Hub"/>
    <n v="547.24100516096803"/>
    <n v="8926.5570273473622"/>
    <n v="0.94223636568109559"/>
    <n v="0.56548583878712833"/>
    <n v="32"/>
    <n v="42.75"/>
    <n v="2736.2050258048403"/>
    <n v="6737.5930067034897"/>
  </r>
  <r>
    <s v="haircare"/>
    <s v="SKU68"/>
    <n v="37.931812382790298"/>
    <n v="6182.8854183948188"/>
    <n v="2632.6669856138287"/>
    <s v="Discount Applied"/>
    <n v="29"/>
    <n v="163"/>
    <n v="3550.21843278099"/>
    <s v="Non-binary"/>
    <n v="0"/>
    <n v="8"/>
    <n v="58"/>
    <n v="8"/>
    <x v="0"/>
    <n v="1.19425186488499"/>
    <s v="Precision Tech Solutions"/>
    <s v="West Coast Hub (Port)"/>
    <n v="13"/>
    <n v="751"/>
    <n v="14"/>
    <n v="21.048642725168602"/>
    <s v="Pass"/>
    <n v="305.46222885923231"/>
    <n v="1.87400140404437E-2"/>
    <n v="1.87400140404437"/>
    <x v="3"/>
    <s v="Americas Gateway"/>
    <n v="320.84651575911101"/>
    <n v="3229.3719170218792"/>
    <n v="0.90962626051496709"/>
    <n v="2.8027486984245807E-2"/>
    <n v="21"/>
    <e v="#DIV/0!"/>
    <n v="1604.2325787955551"/>
    <n v="1945.9858539854349"/>
  </r>
  <r>
    <s v="skincare"/>
    <s v="SKU69"/>
    <n v="54.865528517069698"/>
    <n v="28036.285072222618"/>
    <n v="26283.903984738499"/>
    <s v="Discount Applied"/>
    <n v="62"/>
    <n v="511"/>
    <n v="1752.3810874841199"/>
    <s v="Non-binary"/>
    <n v="95"/>
    <n v="1"/>
    <n v="27"/>
    <n v="3"/>
    <x v="0"/>
    <n v="9.7052867901203399"/>
    <s v="Elite Quality Parts"/>
    <s v="Tech &amp; R&amp;D Center"/>
    <n v="26"/>
    <n v="171"/>
    <n v="4"/>
    <n v="15.972229757181699"/>
    <s v="Pass"/>
    <n v="1082.9723854664342"/>
    <n v="2.11931973672492E-2"/>
    <n v="2.1193197367249201"/>
    <x v="2"/>
    <s v="Indo-Pacific Corridor"/>
    <n v="617.86691645837698"/>
    <n v="1134.5141710257431"/>
    <n v="0.64741292811745432"/>
    <n v="9.3404852381179529E-2"/>
    <n v="29"/>
    <n v="5.3789473684210529"/>
    <n v="3089.334582291885"/>
    <n v="-1336.9534948077651"/>
  </r>
  <r>
    <s v="haircare"/>
    <s v="SKU70"/>
    <n v="47.914541824058702"/>
    <n v="1533.2653383698785"/>
    <n v="-5481.6226488335014"/>
    <s v="Premium Markup"/>
    <n v="90"/>
    <n v="32"/>
    <n v="7014.8879872033804"/>
    <s v="Female"/>
    <n v="10"/>
    <n v="12"/>
    <n v="22"/>
    <n v="4"/>
    <x v="0"/>
    <n v="6.3157177546007199"/>
    <s v="Apex Manufacturing Corp"/>
    <s v="Tech &amp; R&amp;D Center"/>
    <n v="2"/>
    <n v="375"/>
    <n v="18"/>
    <n v="97.113581563462205"/>
    <s v="Fail"/>
    <n v="63.470971909573763"/>
    <n v="1.98346787217418E-2"/>
    <n v="1.9834678721741801"/>
    <x v="2"/>
    <s v="Indo-Pacific Corridor"/>
    <n v="299.70630311810299"/>
    <n v="6715.1816840852771"/>
    <n v="0.95727568228247828"/>
    <n v="0.25896955083589923"/>
    <n v="6"/>
    <n v="3.2"/>
    <n v="1498.531515590515"/>
    <n v="5516.3564716128658"/>
  </r>
  <r>
    <s v="cosmetics"/>
    <s v="SKU71"/>
    <n v="6.3815331627479601"/>
    <n v="4065.0366246704507"/>
    <n v="-4115.3004607549892"/>
    <s v="Premium Markup"/>
    <n v="14"/>
    <n v="637"/>
    <n v="8180.3370854254399"/>
    <s v="Female"/>
    <n v="76"/>
    <n v="2"/>
    <n v="26"/>
    <n v="6"/>
    <x v="1"/>
    <n v="9.2281903170525101"/>
    <s v="Precision Tech Solutions"/>
    <s v="West Coast Hub (Port)"/>
    <n v="6"/>
    <n v="955"/>
    <n v="26"/>
    <n v="4.4652784349432402"/>
    <s v="Pending"/>
    <n v="2635.8276799724372"/>
    <n v="4.1378770486223501E-2"/>
    <n v="4.1378770486223502"/>
    <x v="0"/>
    <s v="Americas Gateway"/>
    <n v="589.97855562804"/>
    <n v="7590.3585297973996"/>
    <n v="0.92787845421685855"/>
    <n v="4.6756842250714557E-3"/>
    <n v="12"/>
    <n v="8.3815789473684212"/>
    <n v="2949.8927781401999"/>
    <n v="5230.44430728524"/>
  </r>
  <r>
    <s v="cosmetics"/>
    <s v="SKU72"/>
    <n v="90.204427520528"/>
    <n v="43117.716354812386"/>
    <n v="40484.594373500135"/>
    <s v="Discount Applied"/>
    <n v="88"/>
    <n v="478"/>
    <n v="2633.1219813122498"/>
    <s v="Non-binary"/>
    <n v="57"/>
    <n v="29"/>
    <n v="77"/>
    <n v="9"/>
    <x v="1"/>
    <n v="6.5996141596895397"/>
    <s v="Apex Manufacturing Corp"/>
    <s v="Northern Logistics Node"/>
    <n v="27"/>
    <n v="918"/>
    <n v="5"/>
    <n v="30.323545256616502"/>
    <s v="Fail"/>
    <n v="2174.3835971914696"/>
    <n v="4.5489196593963797E-2"/>
    <n v="4.5489196593963799"/>
    <x v="3"/>
    <s v="Trans-Eurasian Hub"/>
    <n v="323.01292795247798"/>
    <n v="2310.1090533597717"/>
    <n v="0.87732701703720517"/>
    <n v="3.3032184375399239E-2"/>
    <n v="36"/>
    <n v="8.3859649122807021"/>
    <n v="1615.06463976239"/>
    <n v="1018.0573415498598"/>
  </r>
  <r>
    <s v="cosmetics"/>
    <s v="SKU73"/>
    <n v="83.851017681304597"/>
    <n v="31444.131630489224"/>
    <n v="23533.244714348544"/>
    <s v="Discount Applied"/>
    <n v="41"/>
    <n v="375"/>
    <n v="7910.8869161406801"/>
    <s v="Male"/>
    <n v="17"/>
    <n v="25"/>
    <n v="66"/>
    <n v="5"/>
    <x v="0"/>
    <n v="1.5129368369160701"/>
    <s v="Elite Quality Parts"/>
    <s v="East Gateway Hub"/>
    <n v="3"/>
    <n v="563"/>
    <n v="3"/>
    <n v="32.321286213424003"/>
    <s v="Fail"/>
    <n v="810.47015533346621"/>
    <n v="2.16125374755591E-2"/>
    <n v="2.1612537475559099"/>
    <x v="0"/>
    <s v="Trans-Eurasian Hub"/>
    <n v="402.96878907376998"/>
    <n v="7507.9181270669105"/>
    <n v="0.94906149040614052"/>
    <n v="5.740903412686324E-2"/>
    <n v="8"/>
    <n v="22.058823529411764"/>
    <n v="2014.84394536885"/>
    <n v="5896.0429707718304"/>
  </r>
  <r>
    <s v="haircare"/>
    <s v="SKU74"/>
    <n v="3.1700114135661499"/>
    <n v="2865.6903178637995"/>
    <n v="-2844.2549781054804"/>
    <s v="Premium Markup"/>
    <n v="64"/>
    <n v="904"/>
    <n v="5709.9452959692799"/>
    <s v="Female"/>
    <n v="41"/>
    <n v="6"/>
    <n v="1"/>
    <n v="5"/>
    <x v="1"/>
    <n v="5.2376546500374399"/>
    <s v="Elite Quality Parts"/>
    <s v="Tech &amp; R&amp;D Center"/>
    <n v="10"/>
    <n v="104"/>
    <n v="17"/>
    <n v="56.766475557431797"/>
    <s v="Fail"/>
    <n v="2512.3909344603285"/>
    <n v="2.77919351157116E-2"/>
    <n v="2.7791935115711599"/>
    <x v="0"/>
    <s v="Indo-Pacific Corridor"/>
    <n v="235.461236735537"/>
    <n v="5474.4840592337432"/>
    <n v="0.9587629610214039"/>
    <n v="0.54583149574453649"/>
    <n v="15"/>
    <n v="22.048780487804876"/>
    <n v="1177.3061836776851"/>
    <n v="4532.6391122915948"/>
  </r>
  <r>
    <s v="skincare"/>
    <s v="SKU75"/>
    <n v="92.996884233970604"/>
    <n v="9857.6697288008836"/>
    <n v="7968.5961390215534"/>
    <s v="Discount Applied"/>
    <n v="29"/>
    <n v="106"/>
    <n v="1889.07358977933"/>
    <s v="Non-binary"/>
    <n v="16"/>
    <n v="20"/>
    <n v="56"/>
    <n v="10"/>
    <x v="2"/>
    <n v="2.47389776104546"/>
    <s v="Apex Manufacturing Corp"/>
    <s v="East Gateway Hub"/>
    <n v="27"/>
    <n v="806"/>
    <n v="30"/>
    <n v="51.634893400109299"/>
    <s v="Pending"/>
    <n v="102.33183876735366"/>
    <n v="9.6539470535239296E-3"/>
    <n v="0.96539470535239302"/>
    <x v="0"/>
    <s v="Americas Gateway"/>
    <n v="880.08098824716103"/>
    <n v="1008.9926015321689"/>
    <n v="0.53412032595830916"/>
    <n v="6.4063143176314272E-2"/>
    <n v="37"/>
    <n v="6.625"/>
    <n v="4400.4049412358054"/>
    <n v="-2511.3313514564752"/>
  </r>
  <r>
    <s v="haircare"/>
    <s v="SKU76"/>
    <n v="69.108799547430294"/>
    <n v="16655.220690930702"/>
    <n v="11326.844706632954"/>
    <s v="Discount Applied"/>
    <n v="23"/>
    <n v="241"/>
    <n v="5328.3759842977497"/>
    <s v="Male"/>
    <n v="38"/>
    <n v="1"/>
    <n v="22"/>
    <n v="10"/>
    <x v="1"/>
    <n v="7.0545383368369201"/>
    <s v="Precision Tech Solutions"/>
    <s v="West Coast Hub (Port)"/>
    <n v="25"/>
    <n v="291"/>
    <n v="4"/>
    <n v="10.5282450700421"/>
    <s v="Fail"/>
    <n v="690.38494892989218"/>
    <n v="2.8646678378833702E-2"/>
    <n v="2.8646678378833701"/>
    <x v="3"/>
    <s v="Trans-Eurasian Hub"/>
    <n v="762.45918215568304"/>
    <n v="4565.9168021420664"/>
    <n v="0.85690589695573616"/>
    <n v="3.6179536323168726E-2"/>
    <n v="35"/>
    <n v="6.3421052631578947"/>
    <n v="3812.2959107784154"/>
    <n v="1516.0800735193343"/>
  </r>
  <r>
    <s v="haircare"/>
    <s v="SKU77"/>
    <n v="57.449742958971399"/>
    <n v="20624.457722270734"/>
    <n v="18140.697544727944"/>
    <s v="Discount Applied"/>
    <n v="14"/>
    <n v="359"/>
    <n v="2483.7601775427902"/>
    <s v="Unknown"/>
    <n v="96"/>
    <n v="28"/>
    <n v="57"/>
    <n v="4"/>
    <x v="0"/>
    <n v="6.7809466256178901"/>
    <s v="Apex Manufacturing Corp"/>
    <s v="Northern Logistics Node"/>
    <n v="5"/>
    <n v="414"/>
    <n v="3"/>
    <n v="92.065160598712794"/>
    <s v="Fail"/>
    <n v="1129.263048697047"/>
    <n v="3.1455795228330002E-2"/>
    <n v="3.1455795228330001"/>
    <x v="1"/>
    <s v="Indo-Pacific Corridor"/>
    <n v="923.44063171192204"/>
    <n v="1560.3195458308683"/>
    <n v="0.62820861689412733"/>
    <n v="0.22237961497273623"/>
    <n v="9"/>
    <n v="3.7395833333333335"/>
    <n v="4617.2031585596105"/>
    <n v="-2133.4429810168203"/>
  </r>
  <r>
    <s v="haircare"/>
    <s v="SKU78"/>
    <n v="6.30688317611191"/>
    <n v="5966.3114846018671"/>
    <n v="4673.8530666641173"/>
    <s v="Discount Applied"/>
    <n v="50"/>
    <n v="946"/>
    <n v="1292.45841793775"/>
    <s v="Unknown"/>
    <n v="5"/>
    <n v="4"/>
    <n v="51"/>
    <n v="5"/>
    <x v="0"/>
    <n v="8.4670497708619905"/>
    <s v="Titan Industrial Group"/>
    <s v="South Asia Mfg Hub"/>
    <n v="7"/>
    <n v="453"/>
    <n v="16"/>
    <n v="47.679680368355299"/>
    <s v="Fail"/>
    <n v="96.511634152594496"/>
    <n v="1.0202075491817599E-3"/>
    <n v="0.102020754918176"/>
    <x v="1"/>
    <s v="Americas Gateway"/>
    <n v="670.93439079241"/>
    <n v="621.52402714534003"/>
    <n v="0.48088512444140785"/>
    <n v="0.10525315754603819"/>
    <n v="12"/>
    <n v="189.2"/>
    <n v="3354.6719539620499"/>
    <n v="-2062.2135360243001"/>
  </r>
  <r>
    <s v="haircare"/>
    <s v="SKU79"/>
    <n v="57.057031221103202"/>
    <n v="11297.292181778434"/>
    <n v="3408.5689133513533"/>
    <s v="Discount Applied"/>
    <n v="56"/>
    <n v="198"/>
    <n v="7888.7232684270803"/>
    <s v="Non-binary"/>
    <n v="31"/>
    <n v="25"/>
    <n v="20"/>
    <n v="1"/>
    <x v="0"/>
    <n v="6.49632536429504"/>
    <s v="Global Source Logistics"/>
    <s v="Tech &amp; R&amp;D Center"/>
    <n v="21"/>
    <n v="152"/>
    <n v="11"/>
    <n v="55.760492895244198"/>
    <s v="Pending"/>
    <n v="636.23926227278344"/>
    <n v="3.2133296074382998E-2"/>
    <n v="3.2133296074383"/>
    <x v="2"/>
    <s v="Trans-Eurasian Hub"/>
    <n v="677.94456984618296"/>
    <n v="7210.7786985808971"/>
    <n v="0.91406156018179641"/>
    <n v="0.3668453479950276"/>
    <n v="22"/>
    <n v="6.387096774193548"/>
    <n v="3389.722849230915"/>
    <n v="4499.0004191961652"/>
  </r>
  <r>
    <s v="skincare"/>
    <s v="SKU80"/>
    <n v="91.128318350444303"/>
    <n v="79463.893601587435"/>
    <n v="70812.220918605381"/>
    <s v="Discount Applied"/>
    <n v="75"/>
    <n v="872"/>
    <n v="8651.67268298206"/>
    <s v="Unknown"/>
    <n v="39"/>
    <n v="14"/>
    <n v="41"/>
    <n v="2"/>
    <x v="2"/>
    <n v="2.8331846794189701"/>
    <s v="Global Source Logistics"/>
    <s v="South Asia Mfg Hub"/>
    <n v="18"/>
    <n v="870"/>
    <n v="23"/>
    <n v="77.322353211051606"/>
    <s v="Pending"/>
    <n v="3181.5884366915661"/>
    <n v="3.6486105925362E-2"/>
    <n v="3.6486105925361998"/>
    <x v="0"/>
    <s v="Trans-Eurasian Hub"/>
    <n v="380.43593711196399"/>
    <n v="8271.2367458700955"/>
    <n v="0.95602746994112642"/>
    <n v="8.8876268058680014E-2"/>
    <n v="20"/>
    <n v="22.358974358974358"/>
    <n v="1902.17968555982"/>
    <n v="6749.4929974222396"/>
  </r>
  <r>
    <s v="haircare"/>
    <s v="SKU81"/>
    <n v="72.819206930318202"/>
    <n v="56362.066164066287"/>
    <n v="51977.652764020429"/>
    <s v="Discount Applied"/>
    <n v="9"/>
    <n v="774"/>
    <n v="4384.4134000458598"/>
    <s v="Unknown"/>
    <n v="48"/>
    <n v="6"/>
    <n v="8"/>
    <n v="5"/>
    <x v="0"/>
    <n v="4.0662775015120403"/>
    <s v="Global Source Logistics"/>
    <s v="South Asia Mfg Hub"/>
    <n v="20"/>
    <n v="694"/>
    <n v="16"/>
    <n v="82.373320587990193"/>
    <s v="Fail"/>
    <n v="2822.3529698327734"/>
    <n v="3.6464508654170197E-2"/>
    <n v="3.64645086541702"/>
    <x v="0"/>
    <s v="Americas Gateway"/>
    <n v="477.30763109090299"/>
    <n v="3907.1057689549571"/>
    <n v="0.8911353498085034"/>
    <n v="0.11869354551583601"/>
    <n v="25"/>
    <n v="16.125"/>
    <n v="2386.5381554545147"/>
    <n v="1997.8752445913451"/>
  </r>
  <r>
    <s v="skincare"/>
    <s v="SKU82"/>
    <n v="17.034930739467899"/>
    <n v="5723.7367284612146"/>
    <n v="2780.3548608517644"/>
    <s v="Discount Applied"/>
    <n v="13"/>
    <n v="336"/>
    <n v="2943.3818676094502"/>
    <s v="Unknown"/>
    <n v="42"/>
    <n v="19"/>
    <n v="72"/>
    <n v="1"/>
    <x v="1"/>
    <n v="4.7081818735419301"/>
    <s v="Precision Tech Solutions"/>
    <s v="East Gateway Hub"/>
    <n v="26"/>
    <n v="334"/>
    <n v="5"/>
    <n v="42.952444748991802"/>
    <s v="Pass"/>
    <n v="1026.5276509513333"/>
    <n v="3.0551418183075399E-2"/>
    <n v="3.0551418183075398"/>
    <x v="0"/>
    <s v="Trans-Eurasian Hub"/>
    <n v="852.56809891984994"/>
    <n v="2090.8137686896002"/>
    <n v="0.71034404053990896"/>
    <n v="0.12860013397901737"/>
    <n v="27"/>
    <n v="8"/>
    <n v="4262.8404945992497"/>
    <n v="-1319.4586269897995"/>
  </r>
  <r>
    <s v="haircare"/>
    <s v="SKU83"/>
    <n v="68.911246211606297"/>
    <n v="45688.156238294978"/>
    <n v="43276.401606184489"/>
    <s v="Discount Applied"/>
    <n v="82"/>
    <n v="663"/>
    <n v="2411.7546321104901"/>
    <s v="Unknown"/>
    <n v="65"/>
    <n v="24"/>
    <n v="7"/>
    <n v="8"/>
    <x v="0"/>
    <n v="4.94983957799694"/>
    <s v="Apex Manufacturing Corp"/>
    <s v="East Gateway Hub"/>
    <n v="24"/>
    <n v="867"/>
    <n v="15"/>
    <n v="34.343277465075303"/>
    <s v="Pending"/>
    <n v="1730.6210002542969"/>
    <n v="2.61028808484811E-2"/>
    <n v="2.61028808484811"/>
    <x v="3"/>
    <s v="Indo-Pacific Corridor"/>
    <n v="183.932968043594"/>
    <n v="2227.8216640668961"/>
    <n v="0.92373479225677402"/>
    <n v="3.9611623373789276E-2"/>
    <n v="32"/>
    <n v="10.199999999999999"/>
    <n v="919.66484021796998"/>
    <n v="1492.0897918925202"/>
  </r>
  <r>
    <s v="haircare"/>
    <s v="SKU84"/>
    <n v="89.104367292102197"/>
    <n v="55066.49898651916"/>
    <n v="53018.208886670451"/>
    <s v="Discount Applied"/>
    <n v="99"/>
    <n v="618"/>
    <n v="2048.2900998487098"/>
    <s v="Unknown"/>
    <n v="73"/>
    <n v="26"/>
    <n v="80"/>
    <n v="10"/>
    <x v="1"/>
    <n v="8.3816156249226292"/>
    <s v="Titan Industrial Group"/>
    <s v="East Gateway Hub"/>
    <n v="22"/>
    <n v="780"/>
    <n v="28"/>
    <n v="50.120839612977299"/>
    <s v="Fail"/>
    <n v="1601.4082424444659"/>
    <n v="2.5912754732111097E-2"/>
    <n v="2.5912754732111098"/>
    <x v="2"/>
    <s v="Americas Gateway"/>
    <n v="205.57199582694699"/>
    <n v="1842.7181040217629"/>
    <n v="0.89963726532578037"/>
    <n v="6.4257486683304235E-2"/>
    <n v="32"/>
    <n v="8.4657534246575334"/>
    <n v="1027.8599791347349"/>
    <n v="1020.4301207139749"/>
  </r>
  <r>
    <s v="cosmetics"/>
    <s v="SKU85"/>
    <n v="76.962994415193805"/>
    <n v="1924.0748603798452"/>
    <n v="-6760.5381988740046"/>
    <s v="Premium Markup"/>
    <n v="83"/>
    <n v="25"/>
    <n v="8684.6130592538502"/>
    <s v="Female"/>
    <n v="15"/>
    <n v="18"/>
    <n v="66"/>
    <n v="2"/>
    <x v="2"/>
    <n v="8.2491687048717193"/>
    <s v="Titan Industrial Group"/>
    <s v="Tech &amp; R&amp;D Center"/>
    <n v="20"/>
    <n v="443"/>
    <n v="5"/>
    <n v="97.730593800533001"/>
    <s v="Fail"/>
    <n v="19.325153351681177"/>
    <n v="7.7300613406724701E-3"/>
    <n v="0.77300613406724705"/>
    <x v="0"/>
    <s v="Indo-Pacific Corridor"/>
    <n v="682.97101822609295"/>
    <n v="8001.6420410277569"/>
    <n v="0.92135849765944877"/>
    <n v="0.22061082122016479"/>
    <n v="22"/>
    <n v="1.6666666666666667"/>
    <n v="3414.8550911304646"/>
    <n v="5269.7579681233856"/>
  </r>
  <r>
    <s v="skincare"/>
    <s v="SKU86"/>
    <n v="19.9981769404042"/>
    <n v="4459.5934577101361"/>
    <n v="3230.0024291451564"/>
    <s v="Discount Applied"/>
    <n v="18"/>
    <n v="223"/>
    <n v="1229.59102856498"/>
    <s v="Unknown"/>
    <n v="32"/>
    <n v="14"/>
    <n v="22"/>
    <n v="6"/>
    <x v="0"/>
    <n v="1.4543053101535499"/>
    <s v="Apex Manufacturing Corp"/>
    <s v="East Gateway Hub"/>
    <n v="18"/>
    <n v="830"/>
    <n v="5"/>
    <n v="96.527352785310896"/>
    <s v="Pass"/>
    <n v="385.1910060233746"/>
    <n v="1.7273139283559402E-2"/>
    <n v="1.72731392835594"/>
    <x v="0"/>
    <s v="Trans-Eurasian Hub"/>
    <n v="806.10317770292295"/>
    <n v="423.48785086205703"/>
    <n v="0.34441358225937724"/>
    <n v="0.11629801540398903"/>
    <n v="24"/>
    <n v="6.96875"/>
    <n v="4030.5158885146147"/>
    <n v="-2800.924859949635"/>
  </r>
  <r>
    <s v="haircare"/>
    <s v="SKU87"/>
    <n v="80.414036650355698"/>
    <n v="6352.7088953781004"/>
    <n v="1218.8621942914106"/>
    <s v="Discount Applied"/>
    <n v="24"/>
    <n v="79"/>
    <n v="5133.8467010866898"/>
    <s v="Male"/>
    <n v="5"/>
    <n v="7"/>
    <n v="55"/>
    <n v="10"/>
    <x v="1"/>
    <n v="6.5758037975485299"/>
    <s v="Global Source Logistics"/>
    <s v="East Gateway Hub"/>
    <n v="19"/>
    <n v="934"/>
    <n v="23"/>
    <n v="78.280383118415301"/>
    <s v="Pending"/>
    <n v="299.98126615202023"/>
    <n v="3.7972312171141803E-2"/>
    <n v="3.79723121711418"/>
    <x v="0"/>
    <s v="Trans-Eurasian Hub"/>
    <n v="458.53594573920901"/>
    <n v="4675.3107553474811"/>
    <n v="0.91068374798917351"/>
    <n v="8.3811973360187683E-2"/>
    <n v="29"/>
    <n v="15.8"/>
    <n v="2292.679728696045"/>
    <n v="2841.1669723906448"/>
  </r>
  <r>
    <s v="cosmetics"/>
    <s v="SKU88"/>
    <n v="75.270406975724995"/>
    <n v="55474.289941109324"/>
    <n v="46029.547908046341"/>
    <s v="Discount Applied"/>
    <n v="58"/>
    <n v="737"/>
    <n v="9444.7420330629793"/>
    <s v="Male"/>
    <n v="60"/>
    <n v="18"/>
    <n v="85"/>
    <n v="7"/>
    <x v="1"/>
    <n v="3.8012531329310701"/>
    <s v="Precision Tech Solutions"/>
    <s v="West Coast Hub (Port)"/>
    <n v="4"/>
    <n v="671"/>
    <n v="29"/>
    <n v="62.612690395614301"/>
    <s v="Pass"/>
    <n v="245.73925519063266"/>
    <n v="3.3343182522473903E-3"/>
    <n v="0.33343182522473902"/>
    <x v="2"/>
    <s v="Trans-Eurasian Hub"/>
    <n v="230.092782536762"/>
    <n v="9214.6492505262177"/>
    <n v="0.97563800242174092"/>
    <n v="9.3312504315371539E-2"/>
    <n v="11"/>
    <n v="12.283333333333333"/>
    <n v="1150.4639126838101"/>
    <n v="8294.2781203791692"/>
  </r>
  <r>
    <s v="cosmetics"/>
    <s v="SKU89"/>
    <n v="97.760085581938597"/>
    <n v="13099.851467979772"/>
    <n v="7175.1689011265416"/>
    <s v="Discount Applied"/>
    <n v="10"/>
    <n v="134"/>
    <n v="5924.6825668532301"/>
    <s v="Unknown"/>
    <n v="90"/>
    <n v="1"/>
    <n v="27"/>
    <n v="8"/>
    <x v="0"/>
    <n v="9.9298162452772498"/>
    <s v="Apex Manufacturing Corp"/>
    <s v="South Asia Mfg Hub"/>
    <n v="24"/>
    <n v="589"/>
    <n v="22"/>
    <n v="33.808636513209002"/>
    <s v="Pass"/>
    <n v="649.02318133381743"/>
    <n v="4.8434565771180403E-2"/>
    <n v="4.8434565771180402"/>
    <x v="1"/>
    <s v="Trans-Eurasian Hub"/>
    <n v="465.45700596368698"/>
    <n v="5459.225560889543"/>
    <n v="0.92143764653860527"/>
    <n v="5.7400061991865876E-2"/>
    <n v="32"/>
    <n v="1.4888888888888889"/>
    <n v="2327.2850298184349"/>
    <n v="3597.3975370347953"/>
  </r>
  <r>
    <s v="skincare"/>
    <s v="SKU90"/>
    <n v="13.881913501359101"/>
    <n v="4442.2123204349118"/>
    <n v="-5150.4212498453981"/>
    <s v="Premium Markup"/>
    <n v="56"/>
    <n v="320"/>
    <n v="9592.6335702803099"/>
    <s v="Non-binary"/>
    <n v="66"/>
    <n v="18"/>
    <n v="96"/>
    <n v="7"/>
    <x v="0"/>
    <n v="7.6744307081126903"/>
    <s v="Global Source Logistics"/>
    <s v="Northern Logistics Node"/>
    <n v="18"/>
    <n v="396"/>
    <n v="7"/>
    <n v="65.047415094691402"/>
    <s v="Fail"/>
    <n v="553.71991035494079"/>
    <n v="1.7303747198591898E-2"/>
    <n v="1.7303747198591899"/>
    <x v="0"/>
    <s v="Trans-Eurasian Hub"/>
    <n v="110.364335231364"/>
    <n v="9482.2692350489451"/>
    <n v="0.98849488678757691"/>
    <n v="0.16426114922901869"/>
    <n v="25"/>
    <n v="4.8484848484848486"/>
    <n v="551.82167615681999"/>
    <n v="9040.8118941234898"/>
  </r>
  <r>
    <s v="cosmetics"/>
    <s v="SKU91"/>
    <n v="62.111965463961702"/>
    <n v="56894.560364988916"/>
    <n v="54959.353571481326"/>
    <s v="Discount Applied"/>
    <n v="90"/>
    <n v="916"/>
    <n v="1935.20679350759"/>
    <s v="Male"/>
    <n v="98"/>
    <n v="22"/>
    <n v="85"/>
    <n v="7"/>
    <x v="0"/>
    <n v="7.4715140844011403"/>
    <s v="Elite Quality Parts"/>
    <s v="East Gateway Hub"/>
    <n v="30"/>
    <n v="791"/>
    <n v="6"/>
    <n v="9.0058074287816403"/>
    <s v="Fail"/>
    <n v="1330.0065388610778"/>
    <n v="1.4519722039968099E-2"/>
    <n v="1.4519722039968099"/>
    <x v="1"/>
    <s v="Trans-Eurasian Hub"/>
    <n v="653.67299455203295"/>
    <n v="1281.5337989555569"/>
    <n v="0.66222059743432304"/>
    <n v="1.1385344410596259E-2"/>
    <n v="37"/>
    <n v="9.3469387755102034"/>
    <n v="3268.3649727601646"/>
    <n v="-1333.1581792525747"/>
  </r>
  <r>
    <s v="cosmetics"/>
    <s v="SKU92"/>
    <n v="47.714233075820196"/>
    <n v="13169.128328926374"/>
    <n v="11068.998574300444"/>
    <s v="Discount Applied"/>
    <n v="44"/>
    <n v="276"/>
    <n v="2100.1297546259302"/>
    <s v="Male"/>
    <n v="90"/>
    <n v="25"/>
    <n v="10"/>
    <n v="8"/>
    <x v="0"/>
    <n v="4.4695000261236002"/>
    <s v="Precision Tech Solutions"/>
    <s v="Northern Logistics Node"/>
    <n v="5"/>
    <n v="207"/>
    <n v="28"/>
    <n v="39.772882502339897"/>
    <s v="Pending"/>
    <n v="172.77651286579274"/>
    <n v="6.2600185820939399E-3"/>
    <n v="0.62600185820939402"/>
    <x v="2"/>
    <s v="Trans-Eurasian Hub"/>
    <n v="996.77831495062298"/>
    <n v="1103.3514396753071"/>
    <n v="0.52537298576193603"/>
    <n v="0.19213952899681111"/>
    <n v="13"/>
    <n v="3.0666666666666669"/>
    <n v="4983.8915747531146"/>
    <n v="-2883.7618201271844"/>
  </r>
  <r>
    <s v="haircare"/>
    <s v="SKU93"/>
    <n v="69.290831002905406"/>
    <n v="7899.1547343312159"/>
    <n v="3367.7526006393155"/>
    <s v="Discount Applied"/>
    <n v="88"/>
    <n v="114"/>
    <n v="4531.4021336919004"/>
    <s v="Unknown"/>
    <n v="63"/>
    <n v="17"/>
    <n v="66"/>
    <n v="1"/>
    <x v="2"/>
    <n v="7.00643205900439"/>
    <s v="Elite Quality Parts"/>
    <s v="South Asia Mfg Hub"/>
    <n v="25"/>
    <n v="759"/>
    <n v="11"/>
    <n v="48.064782640006499"/>
    <s v="Pass"/>
    <n v="231.42787610823748"/>
    <n v="2.0300690886687497E-2"/>
    <n v="2.0300690886687498"/>
    <x v="1"/>
    <s v="Americas Gateway"/>
    <n v="873.12964801765099"/>
    <n v="3658.2724856742493"/>
    <n v="0.80731578830186934"/>
    <n v="6.3326459341247032E-2"/>
    <n v="26"/>
    <n v="1.8095238095238095"/>
    <n v="4365.6482400882551"/>
    <n v="165.75389360364534"/>
  </r>
  <r>
    <s v="cosmetics"/>
    <s v="SKU94"/>
    <n v="3.0376887246314102"/>
    <n v="2998.1987712112018"/>
    <n v="-4890.1577754506689"/>
    <s v="Premium Markup"/>
    <n v="97"/>
    <n v="987"/>
    <n v="7888.3565466618702"/>
    <s v="Unknown"/>
    <n v="77"/>
    <n v="26"/>
    <n v="72"/>
    <n v="9"/>
    <x v="0"/>
    <n v="6.9429459420325799"/>
    <s v="Precision Tech Solutions"/>
    <s v="Tech &amp; R&amp;D Center"/>
    <n v="26"/>
    <n v="179"/>
    <n v="7"/>
    <n v="96.422820639571796"/>
    <s v="Fail"/>
    <n v="4875.0449698688672"/>
    <n v="4.9392552886209397E-2"/>
    <n v="4.9392552886209398"/>
    <x v="0"/>
    <s v="Indo-Pacific Corridor"/>
    <n v="635.65712050199102"/>
    <n v="7252.6994261598793"/>
    <n v="0.91941830763583032"/>
    <n v="0.53867497564006595"/>
    <n v="35"/>
    <n v="12.818181818181818"/>
    <n v="3178.285602509955"/>
    <n v="4710.0709441519157"/>
  </r>
  <r>
    <s v="haircare"/>
    <s v="SKU95"/>
    <n v="77.903927219447695"/>
    <n v="52351.439091468848"/>
    <n v="44965.07514742019"/>
    <s v="Discount Applied"/>
    <n v="65"/>
    <n v="672"/>
    <n v="7386.3639440486604"/>
    <s v="Unknown"/>
    <n v="15"/>
    <n v="14"/>
    <n v="26"/>
    <n v="9"/>
    <x v="0"/>
    <n v="8.6303388696027508"/>
    <s v="Elite Quality Parts"/>
    <s v="East Gateway Hub"/>
    <n v="9"/>
    <n v="862"/>
    <n v="7"/>
    <n v="77.627765812748095"/>
    <s v="Pending"/>
    <n v="915.52472837219511"/>
    <n v="1.3623879886490999E-2"/>
    <n v="1.3623879886490999"/>
    <x v="1"/>
    <s v="Indo-Pacific Corridor"/>
    <n v="207.66320620857499"/>
    <n v="7178.7007378400858"/>
    <n v="0.97188559786904449"/>
    <n v="9.0055412775809848E-2"/>
    <n v="18"/>
    <n v="44.8"/>
    <n v="1038.316031042875"/>
    <n v="6348.0479130057856"/>
  </r>
  <r>
    <s v="cosmetics"/>
    <s v="SKU96"/>
    <n v="24.423131420373299"/>
    <n v="7913.0945802009492"/>
    <n v="214.66981456883877"/>
    <s v="Discount Applied"/>
    <n v="29"/>
    <n v="324"/>
    <n v="7698.4247656321104"/>
    <s v="Non-binary"/>
    <n v="67"/>
    <n v="2"/>
    <n v="32"/>
    <n v="3"/>
    <x v="2"/>
    <n v="5.3528780439967996"/>
    <s v="Global Source Logistics"/>
    <s v="Northern Logistics Node"/>
    <n v="21"/>
    <n v="588"/>
    <n v="25"/>
    <n v="67.779622987078099"/>
    <s v="Pending"/>
    <n v="813.62064498891482"/>
    <n v="2.5111748302127E-2"/>
    <n v="2.5111748302126999"/>
    <x v="2"/>
    <s v="Indo-Pacific Corridor"/>
    <n v="482.19123860252802"/>
    <n v="7216.2335270295825"/>
    <n v="0.93736494759873967"/>
    <n v="0.11527146766509881"/>
    <n v="24"/>
    <n v="4.8358208955223878"/>
    <n v="2410.9561930126401"/>
    <n v="5287.4685726194703"/>
  </r>
  <r>
    <s v="haircare"/>
    <s v="SKU97"/>
    <n v="3.5261112591434101"/>
    <n v="218.61889806689143"/>
    <n v="-4152.2976819176383"/>
    <s v="Premium Markup"/>
    <n v="56"/>
    <n v="62"/>
    <n v="4370.9165799845296"/>
    <s v="Male"/>
    <n v="46"/>
    <n v="19"/>
    <n v="4"/>
    <n v="9"/>
    <x v="1"/>
    <n v="7.9048456112096703"/>
    <s v="Elite Quality Parts"/>
    <s v="West Coast Hub (Port)"/>
    <n v="25"/>
    <n v="858"/>
    <n v="21"/>
    <n v="71.126514720403307"/>
    <s v="Pending"/>
    <n v="254.00664261316791"/>
    <n v="4.0968813324704499E-2"/>
    <n v="4.0968813324704501"/>
    <x v="3"/>
    <s v="Americas Gateway"/>
    <n v="323.59220343132199"/>
    <n v="4047.3243765532075"/>
    <n v="0.92596696882454177"/>
    <n v="8.2898035804665857E-2"/>
    <n v="34"/>
    <n v="1.3478260869565217"/>
    <n v="1617.9610171566101"/>
    <n v="2752.9555628279195"/>
  </r>
  <r>
    <s v="skincare"/>
    <s v="SKU98"/>
    <n v="19.754604866878601"/>
    <n v="18035.954243460164"/>
    <n v="9510.0016837766452"/>
    <s v="Discount Applied"/>
    <n v="43"/>
    <n v="913"/>
    <n v="8525.9525596835192"/>
    <s v="Female"/>
    <n v="53"/>
    <n v="1"/>
    <n v="27"/>
    <n v="7"/>
    <x v="0"/>
    <n v="1.4098010951380699"/>
    <s v="Titan Industrial Group"/>
    <s v="West Coast Hub (Port)"/>
    <n v="4"/>
    <n v="569"/>
    <n v="18"/>
    <n v="74.608969995194599"/>
    <s v="Pass"/>
    <n v="1873.0313057895769"/>
    <n v="2.0515129307662399E-2"/>
    <n v="2.0515129307662399"/>
    <x v="2"/>
    <s v="Indo-Pacific Corridor"/>
    <n v="264.25488983586598"/>
    <n v="8261.6976698476537"/>
    <n v="0.96900582216637687"/>
    <n v="0.13112297011457749"/>
    <n v="11"/>
    <n v="17.226415094339622"/>
    <n v="1321.2744491793298"/>
    <n v="7204.6781105041891"/>
  </r>
  <r>
    <s v="haircare"/>
    <s v="SKU99"/>
    <n v="68.517832699276596"/>
    <n v="42960.681102446426"/>
    <n v="33775.495273264722"/>
    <s v="Discount Applied"/>
    <n v="17"/>
    <n v="627"/>
    <n v="9185.1858291817007"/>
    <s v="Unknown"/>
    <n v="55"/>
    <n v="8"/>
    <n v="59"/>
    <n v="6"/>
    <x v="0"/>
    <n v="1.3110237561206199"/>
    <s v="Precision Tech Solutions"/>
    <s v="East Gateway Hub"/>
    <n v="11"/>
    <n v="176"/>
    <n v="4"/>
    <n v="1.90076224351945"/>
    <s v="Fail"/>
    <n v="280.39064769581699"/>
    <n v="4.4719401546382299E-3"/>
    <n v="0.44719401546382298"/>
    <x v="1"/>
    <s v="Indo-Pacific Corridor"/>
    <n v="312.57427361009297"/>
    <n v="8872.6115555716078"/>
    <n v="0.96596973872678416"/>
    <n v="1.079978547454233E-2"/>
    <n v="17"/>
    <n v="11.4"/>
    <n v="1562.8713680504648"/>
    <n v="7622.31446113123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C36:AD42" firstHeaderRow="1" firstDataRow="1" firstDataCol="1"/>
  <pivotFields count="36">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descending">
      <items count="6">
        <item x="1"/>
        <item x="3"/>
        <item x="0"/>
        <item x="4"/>
        <item x="2"/>
        <item t="default"/>
      </items>
      <autoSortScope>
        <pivotArea dataOnly="0" outline="0" fieldPosition="0">
          <references count="1">
            <reference field="4294967294" count="1" selected="0">
              <x v="0"/>
            </reference>
          </references>
        </pivotArea>
      </autoSortScope>
    </pivotField>
    <pivotField showAll="0">
      <items count="6">
        <item x="3"/>
        <item x="4"/>
        <item x="2"/>
        <item x="0"/>
        <item x="1"/>
        <item t="default"/>
      </items>
    </pivotField>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showAll="0"/>
    <pivotField showAll="0"/>
    <pivotField showAll="0"/>
    <pivotField showAll="0"/>
    <pivotField showAll="0"/>
    <pivotField showAll="0"/>
  </pivotFields>
  <rowFields count="1">
    <field x="16"/>
  </rowFields>
  <rowItems count="6">
    <i>
      <x v="1"/>
    </i>
    <i>
      <x/>
    </i>
    <i>
      <x v="3"/>
    </i>
    <i>
      <x v="4"/>
    </i>
    <i>
      <x v="2"/>
    </i>
    <i t="grand">
      <x/>
    </i>
  </rowItems>
  <colItems count="1">
    <i/>
  </colItems>
  <dataFields count="1">
    <dataField name="Average of Lead times" fld="11" subtotal="average" baseField="16" baseItem="0"/>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6" count="1" selected="0">
            <x v="1"/>
          </reference>
        </references>
      </pivotArea>
    </chartFormat>
    <chartFormat chart="3" format="10">
      <pivotArea type="data" outline="0" fieldPosition="0">
        <references count="2">
          <reference field="4294967294" count="1" selected="0">
            <x v="0"/>
          </reference>
          <reference field="16" count="1" selected="0">
            <x v="0"/>
          </reference>
        </references>
      </pivotArea>
    </chartFormat>
    <chartFormat chart="3" format="11">
      <pivotArea type="data" outline="0" fieldPosition="0">
        <references count="2">
          <reference field="4294967294" count="1" selected="0">
            <x v="0"/>
          </reference>
          <reference field="16" count="1" selected="0">
            <x v="3"/>
          </reference>
        </references>
      </pivotArea>
    </chartFormat>
    <chartFormat chart="3" format="12">
      <pivotArea type="data" outline="0" fieldPosition="0">
        <references count="2">
          <reference field="4294967294" count="1" selected="0">
            <x v="0"/>
          </reference>
          <reference field="16" count="1" selected="0">
            <x v="4"/>
          </reference>
        </references>
      </pivotArea>
    </chartFormat>
    <chartFormat chart="3" format="13">
      <pivotArea type="data" outline="0" fieldPosition="0">
        <references count="2">
          <reference field="4294967294" count="1" selected="0">
            <x v="0"/>
          </reference>
          <reference field="16" count="1" selected="0">
            <x v="2"/>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I2:AJ8" firstHeaderRow="1" firstDataRow="1" firstDataCol="1"/>
  <pivotFields count="36">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1"/>
        <item x="3"/>
        <item x="0"/>
        <item x="4"/>
        <item x="2"/>
        <item t="default"/>
      </items>
      <autoSortScope>
        <pivotArea dataOnly="0" outline="0" fieldPosition="0">
          <references count="1">
            <reference field="4294967294" count="1" selected="0">
              <x v="0"/>
            </reference>
          </references>
        </pivotArea>
      </autoSortScope>
    </pivotField>
    <pivotField showAll="0">
      <items count="6">
        <item x="3"/>
        <item x="4"/>
        <item x="2"/>
        <item x="0"/>
        <item x="1"/>
        <item t="default"/>
      </items>
    </pivotField>
    <pivotField showAll="0"/>
    <pivotField showAll="0"/>
    <pivotField showAll="0"/>
    <pivotField showAll="0"/>
    <pivotField showAll="0"/>
    <pivotField showAll="0"/>
    <pivotField dataField="1" showAll="0"/>
    <pivotField showAll="0"/>
    <pivotField showAll="0"/>
    <pivotField numFmtId="2" showAll="0"/>
    <pivotField numFmtId="2" showAll="0"/>
    <pivotField numFmtId="2" showAll="0"/>
    <pivotField showAll="0"/>
    <pivotField showAll="0"/>
    <pivotField showAll="0"/>
    <pivotField showAll="0"/>
    <pivotField showAll="0"/>
    <pivotField showAll="0"/>
  </pivotFields>
  <rowFields count="1">
    <field x="16"/>
  </rowFields>
  <rowItems count="6">
    <i>
      <x/>
    </i>
    <i>
      <x v="3"/>
    </i>
    <i>
      <x v="4"/>
    </i>
    <i>
      <x v="1"/>
    </i>
    <i>
      <x v="2"/>
    </i>
    <i t="grand">
      <x/>
    </i>
  </rowItems>
  <colItems count="1">
    <i/>
  </colItems>
  <dataFields count="1">
    <dataField name="Sum of Defect rates" fld="24" showDataAs="percentOfTotal" baseField="0" baseItem="0" numFmtId="10"/>
  </dataFields>
  <chartFormats count="12">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6" count="1" selected="0">
            <x v="0"/>
          </reference>
        </references>
      </pivotArea>
    </chartFormat>
    <chartFormat chart="0" format="3">
      <pivotArea type="data" outline="0" fieldPosition="0">
        <references count="2">
          <reference field="4294967294" count="1" selected="0">
            <x v="0"/>
          </reference>
          <reference field="16" count="1" selected="0">
            <x v="1"/>
          </reference>
        </references>
      </pivotArea>
    </chartFormat>
    <chartFormat chart="0" format="4">
      <pivotArea type="data" outline="0" fieldPosition="0">
        <references count="2">
          <reference field="4294967294" count="1" selected="0">
            <x v="0"/>
          </reference>
          <reference field="16" count="1" selected="0">
            <x v="2"/>
          </reference>
        </references>
      </pivotArea>
    </chartFormat>
    <chartFormat chart="0" format="5">
      <pivotArea type="data" outline="0" fieldPosition="0">
        <references count="2">
          <reference field="4294967294" count="1" selected="0">
            <x v="0"/>
          </reference>
          <reference field="16" count="1" selected="0">
            <x v="3"/>
          </reference>
        </references>
      </pivotArea>
    </chartFormat>
    <chartFormat chart="0" format="6">
      <pivotArea type="data" outline="0" fieldPosition="0">
        <references count="2">
          <reference field="4294967294" count="1" selected="0">
            <x v="0"/>
          </reference>
          <reference field="16" count="1" selected="0">
            <x v="4"/>
          </reference>
        </references>
      </pivotArea>
    </chartFormat>
    <chartFormat chart="3" format="19" series="1">
      <pivotArea type="data" outline="0" fieldPosition="0">
        <references count="1">
          <reference field="4294967294" count="1" selected="0">
            <x v="0"/>
          </reference>
        </references>
      </pivotArea>
    </chartFormat>
    <chartFormat chart="3" format="20">
      <pivotArea type="data" outline="0" fieldPosition="0">
        <references count="2">
          <reference field="4294967294" count="1" selected="0">
            <x v="0"/>
          </reference>
          <reference field="16" count="1" selected="0">
            <x v="0"/>
          </reference>
        </references>
      </pivotArea>
    </chartFormat>
    <chartFormat chart="3" format="21">
      <pivotArea type="data" outline="0" fieldPosition="0">
        <references count="2">
          <reference field="4294967294" count="1" selected="0">
            <x v="0"/>
          </reference>
          <reference field="16" count="1" selected="0">
            <x v="1"/>
          </reference>
        </references>
      </pivotArea>
    </chartFormat>
    <chartFormat chart="3" format="22">
      <pivotArea type="data" outline="0" fieldPosition="0">
        <references count="2">
          <reference field="4294967294" count="1" selected="0">
            <x v="0"/>
          </reference>
          <reference field="16" count="1" selected="0">
            <x v="2"/>
          </reference>
        </references>
      </pivotArea>
    </chartFormat>
    <chartFormat chart="3" format="23">
      <pivotArea type="data" outline="0" fieldPosition="0">
        <references count="2">
          <reference field="4294967294" count="1" selected="0">
            <x v="0"/>
          </reference>
          <reference field="16" count="1" selected="0">
            <x v="3"/>
          </reference>
        </references>
      </pivotArea>
    </chartFormat>
    <chartFormat chart="3" format="24">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H25:AI30"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numFmtId="2" showAll="0"/>
    <pivotField numFmtId="2" showAll="0"/>
    <pivotField numFmtId="2" showAll="0"/>
    <pivotField showAll="0"/>
    <pivotField showAll="0"/>
    <pivotField showAll="0"/>
    <pivotField showAll="0"/>
    <pivotField showAll="0"/>
  </pivotFields>
  <rowFields count="1">
    <field x="26"/>
  </rowFields>
  <rowItems count="5">
    <i>
      <x v="2"/>
    </i>
    <i>
      <x v="1"/>
    </i>
    <i>
      <x/>
    </i>
    <i>
      <x v="3"/>
    </i>
    <i t="grand">
      <x/>
    </i>
  </rowItems>
  <colItems count="1">
    <i/>
  </colItems>
  <dataFields count="1">
    <dataField name="Sum of pctdefect rate" fld="24" baseField="0" baseItem="0"/>
  </dataFields>
  <chartFormats count="6">
    <chartFormat chart="0" format="0"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6" count="1" selected="0">
            <x v="1"/>
          </reference>
        </references>
      </pivotArea>
    </chartFormat>
    <chartFormat chart="3" format="8">
      <pivotArea type="data" outline="0" fieldPosition="0">
        <references count="2">
          <reference field="4294967294" count="1" selected="0">
            <x v="0"/>
          </reference>
          <reference field="26"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6" count="1" selected="0">
            <x v="0"/>
          </reference>
        </references>
      </pivotArea>
    </chartFormat>
    <chartFormat chart="3" format="11">
      <pivotArea type="data" outline="0" fieldPosition="0">
        <references count="2">
          <reference field="4294967294" count="1" selected="0">
            <x v="0"/>
          </reference>
          <reference field="2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14:B15" firstHeaderRow="1" firstDataRow="1" firstDataCol="0"/>
  <pivotFields count="36">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4"/>
        <item x="2"/>
        <item x="0"/>
        <item x="1"/>
        <item t="default"/>
      </items>
    </pivotField>
    <pivotField showAll="0"/>
    <pivotField showAll="0"/>
    <pivotField showAll="0"/>
    <pivotField showAll="0"/>
    <pivotField showAll="0"/>
    <pivotField showAll="0"/>
    <pivotField dataField="1" showAll="0"/>
    <pivotField showAll="0"/>
    <pivotField showAll="0"/>
    <pivotField numFmtId="2" showAll="0"/>
    <pivotField numFmtId="2" showAll="0"/>
    <pivotField numFmtId="2" showAll="0"/>
    <pivotField showAll="0"/>
    <pivotField showAll="0"/>
    <pivotField showAll="0"/>
    <pivotField showAll="0"/>
    <pivotField showAll="0"/>
    <pivotField showAll="0"/>
  </pivotFields>
  <rowItems count="1">
    <i/>
  </rowItems>
  <colItems count="1">
    <i/>
  </colItems>
  <dataFields count="1">
    <dataField name="Sum of Defect rates"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2:B8" firstHeaderRow="1" firstDataRow="1" firstDataCol="1"/>
  <pivotFields count="36">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3"/>
        <item x="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showAll="0"/>
    <pivotField showAll="0"/>
    <pivotField showAll="0"/>
    <pivotField showAll="0"/>
    <pivotField showAll="0"/>
    <pivotField dataField="1" showAll="0"/>
  </pivotFields>
  <rowFields count="1">
    <field x="17"/>
  </rowFields>
  <rowItems count="6">
    <i>
      <x v="4"/>
    </i>
    <i>
      <x v="1"/>
    </i>
    <i>
      <x/>
    </i>
    <i>
      <x v="3"/>
    </i>
    <i>
      <x v="2"/>
    </i>
    <i t="grand">
      <x/>
    </i>
  </rowItems>
  <colItems count="1">
    <i/>
  </colItems>
  <dataFields count="1">
    <dataField name="Average of prfotmargin" fld="35" subtotal="average" baseField="0" baseItem="0"/>
  </dataFields>
  <chartFormats count="7">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7" count="1" selected="0">
            <x v="2"/>
          </reference>
        </references>
      </pivotArea>
    </chartFormat>
    <chartFormat chart="3" format="5">
      <pivotArea type="data" outline="0" fieldPosition="0">
        <references count="2">
          <reference field="4294967294" count="1" selected="0">
            <x v="0"/>
          </reference>
          <reference field="17" count="1" selected="0">
            <x v="3"/>
          </reference>
        </references>
      </pivotArea>
    </chartFormat>
    <chartFormat chart="3" format="6">
      <pivotArea type="data" outline="0" fieldPosition="0">
        <references count="2">
          <reference field="4294967294" count="1" selected="0">
            <x v="0"/>
          </reference>
          <reference field="17" count="1" selected="0">
            <x v="0"/>
          </reference>
        </references>
      </pivotArea>
    </chartFormat>
    <chartFormat chart="3" format="7">
      <pivotArea type="data" outline="0" fieldPosition="0">
        <references count="2">
          <reference field="4294967294" count="1" selected="0">
            <x v="0"/>
          </reference>
          <reference field="17" count="1" selected="0">
            <x v="1"/>
          </reference>
        </references>
      </pivotArea>
    </chartFormat>
    <chartFormat chart="3" format="8">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7:C74" firstHeaderRow="1" firstDataRow="1" firstDataCol="0"/>
  <pivotFields count="36">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4"/>
        <item x="2"/>
        <item x="0"/>
        <item x="1"/>
        <item t="default"/>
      </items>
    </pivotField>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27:C31" firstHeaderRow="0" firstDataRow="1" firstDataCol="1"/>
  <pivotFields count="36">
    <pivotField axis="axisRow" showAll="0">
      <items count="4">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6">
        <item x="3"/>
        <item x="4"/>
        <item x="2"/>
        <item x="0"/>
        <item x="1"/>
        <item t="default"/>
      </items>
    </pivotField>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showAll="0"/>
    <pivotField showAll="0"/>
    <pivotField showAll="0"/>
    <pivotField showAll="0"/>
    <pivotField dataField="1" showAll="0"/>
    <pivotField showAll="0"/>
  </pivotFields>
  <rowFields count="1">
    <field x="0"/>
  </rowFields>
  <rowItems count="4">
    <i>
      <x/>
    </i>
    <i>
      <x v="1"/>
    </i>
    <i>
      <x v="2"/>
    </i>
    <i t="grand">
      <x/>
    </i>
  </rowItems>
  <colFields count="1">
    <field x="-2"/>
  </colFields>
  <colItems count="2">
    <i>
      <x/>
    </i>
    <i i="1">
      <x v="1"/>
    </i>
  </colItems>
  <dataFields count="2">
    <dataField name="Sum of net_profit" fld="34" baseField="0" baseItem="0"/>
    <dataField name="Sum of Revenue generated" fld="8" baseField="0" baseItem="0"/>
  </dataFields>
  <chartFormats count="5">
    <chartFormat chart="3" format="7">
      <pivotArea type="data" outline="0" fieldPosition="0">
        <references count="2">
          <reference field="4294967294" count="1" selected="0">
            <x v="1"/>
          </reference>
          <reference field="0" count="1" selected="0">
            <x v="2"/>
          </reference>
        </references>
      </pivotArea>
    </chartFormat>
    <chartFormat chart="3" format="8" series="1">
      <pivotArea type="data" outline="0" fieldPosition="0">
        <references count="1">
          <reference field="4294967294" count="1" selected="0">
            <x v="1"/>
          </reference>
        </references>
      </pivotArea>
    </chartFormat>
    <chartFormat chart="3" format="9"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2:C19" firstHeaderRow="1" firstDataRow="1" firstDataCol="0"/>
  <pivotFields count="3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4"/>
        <item h="1" x="2"/>
        <item x="0"/>
        <item x="1"/>
        <item t="default"/>
      </items>
    </pivotField>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2:C6" firstHeaderRow="0" firstDataRow="1" firstDataCol="1"/>
  <pivotFields count="32">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4">
        <item x="1"/>
        <item x="2"/>
        <item x="0"/>
        <item t="default"/>
      </items>
    </pivotField>
    <pivotField dataField="1" showAll="0"/>
    <pivotField showAll="0"/>
    <pivotField showAll="0">
      <items count="6">
        <item x="3"/>
        <item x="4"/>
        <item h="1" x="2"/>
        <item x="0"/>
        <item x="1"/>
        <item t="default"/>
      </items>
    </pivotField>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s>
  <rowFields count="1">
    <field x="14"/>
  </rowFields>
  <rowItems count="4">
    <i>
      <x/>
    </i>
    <i>
      <x v="1"/>
    </i>
    <i>
      <x v="2"/>
    </i>
    <i t="grand">
      <x/>
    </i>
  </rowItems>
  <colFields count="1">
    <field x="-2"/>
  </colFields>
  <colItems count="2">
    <i>
      <x/>
    </i>
    <i i="1">
      <x v="1"/>
    </i>
  </colItems>
  <dataFields count="2">
    <dataField name="Average of Shipping costs" fld="15" subtotal="average" baseField="0" baseItem="0"/>
    <dataField name="Average of Shipping times" fld="13" subtotal="average" baseField="0" baseItem="0"/>
  </dataFields>
  <chartFormats count="7">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1"/>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1"/>
          </reference>
          <reference field="14" count="1" selected="0">
            <x v="2"/>
          </reference>
        </references>
      </pivotArea>
    </chartFormat>
    <chartFormat chart="8" format="11">
      <pivotArea type="data" outline="0" fieldPosition="0">
        <references count="2">
          <reference field="4294967294" count="1" selected="0">
            <x v="1"/>
          </reference>
          <reference field="14" count="1" selected="0">
            <x v="1"/>
          </reference>
        </references>
      </pivotArea>
    </chartFormat>
    <chartFormat chart="8" format="12">
      <pivotArea type="data" outline="0" fieldPosition="0">
        <references count="2">
          <reference field="4294967294" count="1" selected="0">
            <x v="1"/>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2:B27" firstHeaderRow="1" firstDataRow="1" firstDataCol="1"/>
  <pivotFields count="32">
    <pivotField showAll="0"/>
    <pivotField showAll="0"/>
    <pivotField showAll="0"/>
    <pivotField showAll="0"/>
    <pivotField showAll="0"/>
    <pivotField showAll="0"/>
    <pivotField showAll="0"/>
    <pivotField dataField="1"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6">
        <item x="3"/>
        <item x="4"/>
        <item h="1" x="2"/>
        <item x="0"/>
        <item x="1"/>
        <item t="default"/>
      </items>
    </pivotField>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s>
  <rowFields count="1">
    <field x="9"/>
  </rowFields>
  <rowItems count="5">
    <i>
      <x v="3"/>
    </i>
    <i>
      <x/>
    </i>
    <i>
      <x v="2"/>
    </i>
    <i>
      <x v="1"/>
    </i>
    <i t="grand">
      <x/>
    </i>
  </rowItems>
  <colItems count="1">
    <i/>
  </colItems>
  <dataFields count="1">
    <dataField name="Sum of Number of products sold" fld="7" baseField="0" baseItem="0"/>
  </dataFields>
  <chartFormats count="5">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9" count="1" selected="0">
            <x v="3"/>
          </reference>
        </references>
      </pivotArea>
    </chartFormat>
    <chartFormat chart="0" format="3">
      <pivotArea type="data" outline="0" fieldPosition="0">
        <references count="2">
          <reference field="4294967294" count="1" selected="0">
            <x v="0"/>
          </reference>
          <reference field="9" count="1" selected="0">
            <x v="0"/>
          </reference>
        </references>
      </pivotArea>
    </chartFormat>
    <chartFormat chart="0" format="4">
      <pivotArea type="data" outline="0" fieldPosition="0">
        <references count="2">
          <reference field="4294967294" count="1" selected="0">
            <x v="0"/>
          </reference>
          <reference field="9" count="1" selected="0">
            <x v="2"/>
          </reference>
        </references>
      </pivotArea>
    </chartFormat>
    <chartFormat chart="0" format="5">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Location1" sourceName="Location">
  <pivotTables>
    <pivotTable tabId="22" name="PivotTable4"/>
    <pivotTable tabId="24" name="PivotTable1"/>
    <pivotTable tabId="24" name="PivotTable3"/>
    <pivotTable tabId="24" name="PivotTable4"/>
    <pivotTable tabId="19" name="PivotTable2"/>
    <pivotTable tabId="19" name="PivotTable3"/>
  </pivotTables>
  <data>
    <tabular pivotCacheId="2">
      <items count="5">
        <i x="3" s="1"/>
        <i x="4"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type" sourceName="Product type">
  <pivotTables>
    <pivotTable tabId="19" name="PivotTable2"/>
    <pivotTable tabId="24" name="PivotTable1"/>
    <pivotTable tabId="24" name="PivotTable3"/>
    <pivotTable tabId="24" name="PivotTable4"/>
    <pivotTable tabId="19" name="PivotTable3"/>
    <pivotTable tabId="22" name="PivotTable4"/>
  </pivotTables>
  <data>
    <tabular pivotCacheId="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Location" cache="Slicer_Location1" caption="Select Region" style="SlicerStyleLight6" rowHeight="241300"/>
  <slicer name="Product type" cache="Slicer_Product_type" caption="Select Product type"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rinterSettings" Target="../printerSettings/printerSettings4.bin"/><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5"/>
  <sheetViews>
    <sheetView zoomScale="110" workbookViewId="0">
      <pane ySplit="1" topLeftCell="A78" activePane="bottomLeft" state="frozen"/>
      <selection activeCell="A21" sqref="A21"/>
      <selection pane="bottomLeft" activeCell="A21" sqref="A21"/>
    </sheetView>
  </sheetViews>
  <sheetFormatPr defaultRowHeight="14.5" x14ac:dyDescent="0.35"/>
  <cols>
    <col min="1" max="1" width="19.54296875" style="6" customWidth="1"/>
    <col min="2" max="2" width="11.26953125" style="9" customWidth="1"/>
    <col min="3" max="3" width="23.90625" customWidth="1"/>
    <col min="4" max="4" width="16.54296875" customWidth="1"/>
    <col min="5" max="5" width="25.7265625" customWidth="1"/>
    <col min="6" max="6" width="20.54296875" customWidth="1"/>
    <col min="7" max="7" width="27.81640625" customWidth="1"/>
    <col min="8" max="8" width="19.90625" customWidth="1"/>
    <col min="9" max="9" width="17" customWidth="1"/>
    <col min="10" max="10" width="17.7265625" customWidth="1"/>
    <col min="11" max="11" width="26" customWidth="1"/>
    <col min="12" max="12" width="25.26953125" customWidth="1"/>
    <col min="13" max="13" width="21.54296875" customWidth="1"/>
    <col min="14" max="14" width="25.26953125" customWidth="1"/>
    <col min="15" max="15" width="23.26953125" customWidth="1"/>
    <col min="16" max="16" width="17.54296875" customWidth="1"/>
    <col min="17" max="17" width="19.7265625" customWidth="1"/>
    <col min="18" max="18" width="23.7265625" customWidth="1"/>
    <col min="19" max="19" width="21.26953125" customWidth="1"/>
    <col min="20" max="22" width="19.54296875" customWidth="1"/>
    <col min="23" max="23" width="18.26953125" customWidth="1"/>
    <col min="24" max="24" width="21.7265625" customWidth="1"/>
    <col min="25" max="25" width="24" customWidth="1"/>
    <col min="26" max="26" width="15.26953125" customWidth="1"/>
  </cols>
  <sheetData>
    <row r="1" spans="1:28" s="1" customFormat="1" x14ac:dyDescent="0.35">
      <c r="A1" s="4" t="s">
        <v>0</v>
      </c>
      <c r="B1" s="7"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169</v>
      </c>
      <c r="V1" s="2" t="s">
        <v>177</v>
      </c>
      <c r="W1" s="2" t="s">
        <v>20</v>
      </c>
      <c r="X1" s="2" t="s">
        <v>21</v>
      </c>
      <c r="Y1" s="2" t="s">
        <v>22</v>
      </c>
      <c r="Z1" s="1" t="s">
        <v>151</v>
      </c>
      <c r="AA1" s="1" t="s">
        <v>152</v>
      </c>
      <c r="AB1" s="1" t="s">
        <v>173</v>
      </c>
    </row>
    <row r="2" spans="1:28" x14ac:dyDescent="0.35">
      <c r="A2" s="5" t="s">
        <v>23</v>
      </c>
      <c r="B2" s="8" t="s">
        <v>24</v>
      </c>
      <c r="C2" s="3">
        <v>69.808005542115694</v>
      </c>
      <c r="D2" s="3">
        <v>55</v>
      </c>
      <c r="E2" s="3">
        <v>802</v>
      </c>
      <c r="F2" s="3">
        <v>8661.9967923923796</v>
      </c>
      <c r="G2" s="3" t="s">
        <v>25</v>
      </c>
      <c r="H2" s="3">
        <v>58</v>
      </c>
      <c r="I2" s="3">
        <v>7</v>
      </c>
      <c r="J2" s="3">
        <v>96</v>
      </c>
      <c r="K2" s="3">
        <v>4</v>
      </c>
      <c r="L2" s="3" t="s">
        <v>138</v>
      </c>
      <c r="M2" s="3">
        <v>2.9565721394308002</v>
      </c>
      <c r="N2" s="3" t="s">
        <v>155</v>
      </c>
      <c r="O2" s="3" t="s">
        <v>147</v>
      </c>
      <c r="P2" s="3">
        <v>18</v>
      </c>
      <c r="Q2" s="3">
        <v>673</v>
      </c>
      <c r="R2" s="3">
        <v>28</v>
      </c>
      <c r="S2" s="3">
        <v>14.190328344569901</v>
      </c>
      <c r="T2" s="3" t="s">
        <v>26</v>
      </c>
      <c r="U2" s="3">
        <f>E2*W2</f>
        <v>1421.906840011007</v>
      </c>
      <c r="V2" s="3">
        <v>1.7729511720835499E-2</v>
      </c>
      <c r="W2" s="3">
        <v>1.77295117208355</v>
      </c>
      <c r="X2" s="3" t="s">
        <v>27</v>
      </c>
      <c r="Y2" s="3" t="s">
        <v>140</v>
      </c>
      <c r="Z2">
        <v>2.1085183275735365E-2</v>
      </c>
      <c r="AA2">
        <v>22</v>
      </c>
      <c r="AB2">
        <v>3474.9115878972248</v>
      </c>
    </row>
    <row r="3" spans="1:28" x14ac:dyDescent="0.35">
      <c r="A3" s="5" t="s">
        <v>28</v>
      </c>
      <c r="B3" s="8" t="s">
        <v>29</v>
      </c>
      <c r="C3" s="3">
        <v>14.8435232750843</v>
      </c>
      <c r="D3" s="3">
        <v>95</v>
      </c>
      <c r="E3" s="3">
        <v>736</v>
      </c>
      <c r="F3" s="3">
        <v>7460.9000654458396</v>
      </c>
      <c r="G3" s="3" t="s">
        <v>30</v>
      </c>
      <c r="H3" s="3">
        <v>53</v>
      </c>
      <c r="I3" s="3">
        <v>30</v>
      </c>
      <c r="J3" s="3">
        <v>37</v>
      </c>
      <c r="K3" s="3">
        <v>2</v>
      </c>
      <c r="L3" s="3" t="s">
        <v>137</v>
      </c>
      <c r="M3" s="3">
        <v>9.7165747714313095</v>
      </c>
      <c r="N3" s="3" t="s">
        <v>155</v>
      </c>
      <c r="O3" s="3" t="s">
        <v>144</v>
      </c>
      <c r="P3" s="3">
        <v>10</v>
      </c>
      <c r="Q3" s="3">
        <v>841</v>
      </c>
      <c r="R3" s="3">
        <v>12</v>
      </c>
      <c r="S3" s="3">
        <v>5.9306936455283097</v>
      </c>
      <c r="T3" s="3" t="s">
        <v>26</v>
      </c>
      <c r="U3" s="3">
        <f t="shared" ref="U3:U66" si="0">E3*W3</f>
        <v>451.40859778507718</v>
      </c>
      <c r="V3" s="3">
        <v>6.1332689916450698E-3</v>
      </c>
      <c r="W3" s="3">
        <v>0.613326899164507</v>
      </c>
      <c r="X3" s="3" t="s">
        <v>33</v>
      </c>
      <c r="Y3" s="3" t="s">
        <v>141</v>
      </c>
      <c r="Z3">
        <v>7.051954394207265E-3</v>
      </c>
      <c r="AA3">
        <v>12</v>
      </c>
      <c r="AB3">
        <v>1698.3643497430298</v>
      </c>
    </row>
    <row r="4" spans="1:28" x14ac:dyDescent="0.35">
      <c r="A4" s="5" t="s">
        <v>23</v>
      </c>
      <c r="B4" s="8" t="s">
        <v>31</v>
      </c>
      <c r="C4" s="3">
        <v>11.319683293090501</v>
      </c>
      <c r="D4" s="3">
        <v>34</v>
      </c>
      <c r="E4" s="3">
        <v>8</v>
      </c>
      <c r="F4" s="3">
        <v>9577.7496258687297</v>
      </c>
      <c r="G4" s="3" t="s">
        <v>32</v>
      </c>
      <c r="H4" s="3">
        <v>1</v>
      </c>
      <c r="I4" s="3">
        <v>10</v>
      </c>
      <c r="J4" s="3">
        <v>88</v>
      </c>
      <c r="K4" s="3">
        <v>2</v>
      </c>
      <c r="L4" s="3" t="s">
        <v>138</v>
      </c>
      <c r="M4" s="3">
        <v>8.0544792617321495</v>
      </c>
      <c r="N4" s="3" t="s">
        <v>153</v>
      </c>
      <c r="O4" s="3" t="s">
        <v>143</v>
      </c>
      <c r="P4" s="3">
        <v>24</v>
      </c>
      <c r="Q4" s="3">
        <v>461</v>
      </c>
      <c r="R4" s="3">
        <v>8</v>
      </c>
      <c r="S4" s="3">
        <v>60.251145661598002</v>
      </c>
      <c r="T4" s="3" t="s">
        <v>26</v>
      </c>
      <c r="U4" s="3">
        <f t="shared" si="0"/>
        <v>23.912000053240561</v>
      </c>
      <c r="V4" s="3">
        <v>2.9890000066550702E-2</v>
      </c>
      <c r="W4" s="3">
        <v>2.9890000066550702</v>
      </c>
      <c r="X4" s="3" t="s">
        <v>36</v>
      </c>
      <c r="Y4" s="3" t="s">
        <v>142</v>
      </c>
      <c r="Z4">
        <v>0.13069662833318438</v>
      </c>
      <c r="AA4">
        <v>26</v>
      </c>
      <c r="AB4">
        <v>3046.89603309213</v>
      </c>
    </row>
    <row r="5" spans="1:28" x14ac:dyDescent="0.35">
      <c r="A5" s="5" t="s">
        <v>28</v>
      </c>
      <c r="B5" s="8" t="s">
        <v>34</v>
      </c>
      <c r="C5" s="3">
        <v>61.1633430164377</v>
      </c>
      <c r="D5" s="3">
        <v>68</v>
      </c>
      <c r="E5" s="3">
        <v>83</v>
      </c>
      <c r="F5" s="3">
        <v>7766.8364256852301</v>
      </c>
      <c r="G5" s="3" t="s">
        <v>25</v>
      </c>
      <c r="H5" s="3">
        <v>23</v>
      </c>
      <c r="I5" s="3">
        <v>13</v>
      </c>
      <c r="J5" s="3">
        <v>59</v>
      </c>
      <c r="K5" s="3">
        <v>6</v>
      </c>
      <c r="L5" s="3" t="s">
        <v>139</v>
      </c>
      <c r="M5" s="3">
        <v>1.7295685635434199</v>
      </c>
      <c r="N5" s="3" t="s">
        <v>157</v>
      </c>
      <c r="O5" s="3" t="s">
        <v>144</v>
      </c>
      <c r="P5" s="3">
        <v>12</v>
      </c>
      <c r="Q5" s="3">
        <v>971</v>
      </c>
      <c r="R5" s="3">
        <v>27</v>
      </c>
      <c r="S5" s="3">
        <v>30.6880193482842</v>
      </c>
      <c r="T5" s="3" t="s">
        <v>26</v>
      </c>
      <c r="U5" s="3">
        <f t="shared" si="0"/>
        <v>380.18918739353529</v>
      </c>
      <c r="V5" s="3">
        <v>4.5805926191992204E-2</v>
      </c>
      <c r="W5" s="3">
        <v>4.5805926191992201</v>
      </c>
      <c r="X5" s="3" t="s">
        <v>33</v>
      </c>
      <c r="Y5" s="3" t="s">
        <v>142</v>
      </c>
      <c r="Z5">
        <v>3.160455133705891E-2</v>
      </c>
      <c r="AA5">
        <v>18</v>
      </c>
      <c r="AB5">
        <v>709.60140885759506</v>
      </c>
    </row>
    <row r="6" spans="1:28" x14ac:dyDescent="0.35">
      <c r="A6" s="5" t="s">
        <v>28</v>
      </c>
      <c r="B6" s="8" t="s">
        <v>37</v>
      </c>
      <c r="C6" s="3">
        <v>4.8054960363458896</v>
      </c>
      <c r="D6" s="3">
        <v>26</v>
      </c>
      <c r="E6" s="3">
        <v>871</v>
      </c>
      <c r="F6" s="3">
        <v>2686.50515156744</v>
      </c>
      <c r="G6" s="3" t="s">
        <v>25</v>
      </c>
      <c r="H6" s="3">
        <v>5</v>
      </c>
      <c r="I6" s="3">
        <v>3</v>
      </c>
      <c r="J6" s="3">
        <v>56</v>
      </c>
      <c r="K6" s="3">
        <v>8</v>
      </c>
      <c r="L6" s="3" t="s">
        <v>137</v>
      </c>
      <c r="M6" s="3">
        <v>3.8905479158706702</v>
      </c>
      <c r="N6" s="3" t="s">
        <v>153</v>
      </c>
      <c r="O6" s="3" t="s">
        <v>145</v>
      </c>
      <c r="P6" s="3">
        <v>30</v>
      </c>
      <c r="Q6" s="3">
        <v>737</v>
      </c>
      <c r="R6" s="3">
        <v>7</v>
      </c>
      <c r="S6" s="3">
        <v>29.6924671537497</v>
      </c>
      <c r="T6" s="3" t="s">
        <v>47</v>
      </c>
      <c r="U6" s="3">
        <f t="shared" si="0"/>
        <v>1694.9974599853017</v>
      </c>
      <c r="V6" s="3">
        <v>1.94603611938611E-2</v>
      </c>
      <c r="W6" s="3">
        <v>1.94603611938611</v>
      </c>
      <c r="X6" s="3" t="s">
        <v>27</v>
      </c>
      <c r="Y6" s="3" t="s">
        <v>140</v>
      </c>
      <c r="Z6">
        <v>4.0288286504409361E-2</v>
      </c>
      <c r="AA6">
        <v>38</v>
      </c>
      <c r="AB6">
        <v>3805.8695475743848</v>
      </c>
    </row>
    <row r="7" spans="1:28" x14ac:dyDescent="0.35">
      <c r="A7" s="5" t="s">
        <v>23</v>
      </c>
      <c r="B7" s="8" t="s">
        <v>38</v>
      </c>
      <c r="C7" s="3">
        <v>1.6999760138659299</v>
      </c>
      <c r="D7" s="3">
        <v>87</v>
      </c>
      <c r="E7" s="3">
        <v>147</v>
      </c>
      <c r="F7" s="3">
        <v>2828.3487459757498</v>
      </c>
      <c r="G7" s="3" t="s">
        <v>25</v>
      </c>
      <c r="H7" s="3">
        <v>90</v>
      </c>
      <c r="I7" s="3">
        <v>27</v>
      </c>
      <c r="J7" s="3">
        <v>66</v>
      </c>
      <c r="K7" s="3">
        <v>3</v>
      </c>
      <c r="L7" s="3" t="s">
        <v>138</v>
      </c>
      <c r="M7" s="3">
        <v>4.4440988643822896</v>
      </c>
      <c r="N7" s="3" t="s">
        <v>156</v>
      </c>
      <c r="O7" s="3" t="s">
        <v>147</v>
      </c>
      <c r="P7" s="3">
        <v>8</v>
      </c>
      <c r="Q7" s="3">
        <v>585</v>
      </c>
      <c r="R7" s="3">
        <v>8</v>
      </c>
      <c r="S7" s="3">
        <v>85.675963335797903</v>
      </c>
      <c r="T7" s="3" t="s">
        <v>47</v>
      </c>
      <c r="U7" s="3">
        <f t="shared" si="0"/>
        <v>179.24918698700287</v>
      </c>
      <c r="V7" s="3">
        <v>1.21938222440138E-2</v>
      </c>
      <c r="W7" s="3">
        <v>1.2193822244013801</v>
      </c>
      <c r="X7" s="3" t="s">
        <v>36</v>
      </c>
      <c r="Y7" s="3" t="s">
        <v>141</v>
      </c>
      <c r="Z7">
        <v>0.14645463818085111</v>
      </c>
      <c r="AA7">
        <v>11</v>
      </c>
      <c r="AB7">
        <v>4950.3923625290545</v>
      </c>
    </row>
    <row r="8" spans="1:28" x14ac:dyDescent="0.35">
      <c r="A8" s="5" t="s">
        <v>28</v>
      </c>
      <c r="B8" s="8" t="s">
        <v>39</v>
      </c>
      <c r="C8" s="3">
        <v>4.0783328631079403</v>
      </c>
      <c r="D8" s="3">
        <v>48</v>
      </c>
      <c r="E8" s="3">
        <v>65</v>
      </c>
      <c r="F8" s="3">
        <v>7823.4765595317303</v>
      </c>
      <c r="G8" s="3" t="s">
        <v>40</v>
      </c>
      <c r="H8" s="3">
        <v>11</v>
      </c>
      <c r="I8" s="3">
        <v>15</v>
      </c>
      <c r="J8" s="3">
        <v>58</v>
      </c>
      <c r="K8" s="3">
        <v>8</v>
      </c>
      <c r="L8" s="3" t="s">
        <v>139</v>
      </c>
      <c r="M8" s="3">
        <v>3.8807633029519999</v>
      </c>
      <c r="N8" s="3" t="s">
        <v>155</v>
      </c>
      <c r="O8" s="3" t="s">
        <v>144</v>
      </c>
      <c r="P8" s="3">
        <v>10</v>
      </c>
      <c r="Q8" s="3">
        <v>198</v>
      </c>
      <c r="R8" s="3">
        <v>11</v>
      </c>
      <c r="S8" s="3">
        <v>7.0578761469782298</v>
      </c>
      <c r="T8" s="3" t="s">
        <v>47</v>
      </c>
      <c r="U8" s="3">
        <f t="shared" si="0"/>
        <v>8.5771038802679094</v>
      </c>
      <c r="V8" s="3">
        <v>1.31955444311814E-3</v>
      </c>
      <c r="W8" s="3">
        <v>0.131955444311814</v>
      </c>
      <c r="X8" s="3" t="s">
        <v>41</v>
      </c>
      <c r="Y8" s="3" t="s">
        <v>142</v>
      </c>
      <c r="Z8">
        <v>3.5645839126152677E-2</v>
      </c>
      <c r="AA8">
        <v>18</v>
      </c>
      <c r="AB8">
        <v>846.35900692392988</v>
      </c>
    </row>
    <row r="9" spans="1:28" x14ac:dyDescent="0.35">
      <c r="A9" s="5" t="s">
        <v>42</v>
      </c>
      <c r="B9" s="8" t="s">
        <v>43</v>
      </c>
      <c r="C9" s="3">
        <v>42.958384382459997</v>
      </c>
      <c r="D9" s="3">
        <v>59</v>
      </c>
      <c r="E9" s="3">
        <v>426</v>
      </c>
      <c r="F9" s="3">
        <v>8496.1038130898305</v>
      </c>
      <c r="G9" s="3" t="s">
        <v>30</v>
      </c>
      <c r="H9" s="3">
        <v>93</v>
      </c>
      <c r="I9" s="3">
        <v>17</v>
      </c>
      <c r="J9" s="3">
        <v>11</v>
      </c>
      <c r="K9" s="3">
        <v>1</v>
      </c>
      <c r="L9" s="3" t="s">
        <v>138</v>
      </c>
      <c r="M9" s="3">
        <v>2.3483387844177801</v>
      </c>
      <c r="N9" s="3" t="s">
        <v>156</v>
      </c>
      <c r="O9" s="3" t="s">
        <v>144</v>
      </c>
      <c r="P9" s="3">
        <v>10</v>
      </c>
      <c r="Q9" s="3">
        <v>727</v>
      </c>
      <c r="R9" s="3">
        <v>27</v>
      </c>
      <c r="S9" s="3">
        <v>9.1668491485971497</v>
      </c>
      <c r="T9" s="3" t="s">
        <v>26</v>
      </c>
      <c r="U9" s="3">
        <f t="shared" si="0"/>
        <v>904.17290975526737</v>
      </c>
      <c r="V9" s="3">
        <v>2.1224716191438203E-2</v>
      </c>
      <c r="W9" s="3">
        <v>2.1224716191438202</v>
      </c>
      <c r="X9" s="3" t="s">
        <v>33</v>
      </c>
      <c r="Y9" s="3" t="s">
        <v>142</v>
      </c>
      <c r="Z9">
        <v>1.2609146009074484E-2</v>
      </c>
      <c r="AA9">
        <v>11</v>
      </c>
      <c r="AB9">
        <v>3014.4924941919153</v>
      </c>
    </row>
    <row r="10" spans="1:28" x14ac:dyDescent="0.35">
      <c r="A10" s="5" t="s">
        <v>42</v>
      </c>
      <c r="B10" s="8" t="s">
        <v>44</v>
      </c>
      <c r="C10" s="3">
        <v>68.717596748527299</v>
      </c>
      <c r="D10" s="3">
        <v>78</v>
      </c>
      <c r="E10" s="3">
        <v>150</v>
      </c>
      <c r="F10" s="3">
        <v>7517.3632106311197</v>
      </c>
      <c r="G10" s="3" t="s">
        <v>30</v>
      </c>
      <c r="H10" s="3">
        <v>5</v>
      </c>
      <c r="I10" s="3">
        <v>10</v>
      </c>
      <c r="J10" s="3">
        <v>15</v>
      </c>
      <c r="K10" s="3">
        <v>7</v>
      </c>
      <c r="L10" s="3" t="s">
        <v>139</v>
      </c>
      <c r="M10" s="3">
        <v>3.4047338570830199</v>
      </c>
      <c r="N10" s="3" t="s">
        <v>156</v>
      </c>
      <c r="O10" s="3" t="s">
        <v>144</v>
      </c>
      <c r="P10" s="3">
        <v>21</v>
      </c>
      <c r="Q10" s="3">
        <v>953</v>
      </c>
      <c r="R10" s="3">
        <v>11</v>
      </c>
      <c r="S10" s="3">
        <v>68.1849190570411</v>
      </c>
      <c r="T10" s="3" t="s">
        <v>26</v>
      </c>
      <c r="U10" s="3">
        <f t="shared" si="0"/>
        <v>108.33066028243965</v>
      </c>
      <c r="V10" s="3">
        <v>7.22204401882931E-3</v>
      </c>
      <c r="W10" s="3">
        <v>0.722204401882931</v>
      </c>
      <c r="X10" s="3" t="s">
        <v>41</v>
      </c>
      <c r="Y10" s="3" t="s">
        <v>140</v>
      </c>
      <c r="Z10">
        <v>7.1547659031522659E-2</v>
      </c>
      <c r="AA10">
        <v>28</v>
      </c>
      <c r="AB10">
        <v>519.58123980352002</v>
      </c>
    </row>
    <row r="11" spans="1:28" x14ac:dyDescent="0.35">
      <c r="A11" s="5" t="s">
        <v>28</v>
      </c>
      <c r="B11" s="8" t="s">
        <v>45</v>
      </c>
      <c r="C11" s="3">
        <v>64.0157329412785</v>
      </c>
      <c r="D11" s="3">
        <v>35</v>
      </c>
      <c r="E11" s="3">
        <v>980</v>
      </c>
      <c r="F11" s="3">
        <v>4971.1459875855498</v>
      </c>
      <c r="G11" s="3" t="s">
        <v>32</v>
      </c>
      <c r="H11" s="3">
        <v>14</v>
      </c>
      <c r="I11" s="3">
        <v>27</v>
      </c>
      <c r="J11" s="3">
        <v>83</v>
      </c>
      <c r="K11" s="3">
        <v>1</v>
      </c>
      <c r="L11" s="3" t="s">
        <v>137</v>
      </c>
      <c r="M11" s="3">
        <v>7.1666452910482104</v>
      </c>
      <c r="N11" s="3" t="s">
        <v>154</v>
      </c>
      <c r="O11" s="3" t="s">
        <v>145</v>
      </c>
      <c r="P11" s="3">
        <v>18</v>
      </c>
      <c r="Q11" s="3">
        <v>374</v>
      </c>
      <c r="R11" s="3">
        <v>17</v>
      </c>
      <c r="S11" s="3">
        <v>27.107980854843898</v>
      </c>
      <c r="T11" s="3" t="s">
        <v>26</v>
      </c>
      <c r="U11" s="3">
        <f t="shared" si="0"/>
        <v>2187.3003285146747</v>
      </c>
      <c r="V11" s="3">
        <v>2.2319391107292599E-2</v>
      </c>
      <c r="W11" s="3">
        <v>2.2319391107292601</v>
      </c>
      <c r="X11" s="3" t="s">
        <v>41</v>
      </c>
      <c r="Y11" s="3" t="s">
        <v>140</v>
      </c>
      <c r="Z11">
        <v>7.248123223220293E-2</v>
      </c>
      <c r="AA11">
        <v>19</v>
      </c>
      <c r="AB11">
        <v>2967.401293603255</v>
      </c>
    </row>
    <row r="12" spans="1:28" x14ac:dyDescent="0.35">
      <c r="A12" s="5" t="s">
        <v>28</v>
      </c>
      <c r="B12" s="8" t="s">
        <v>46</v>
      </c>
      <c r="C12" s="3">
        <v>15.707795681912099</v>
      </c>
      <c r="D12" s="3">
        <v>11</v>
      </c>
      <c r="E12" s="3">
        <v>996</v>
      </c>
      <c r="F12" s="3">
        <v>2330.9658020919401</v>
      </c>
      <c r="G12" s="3" t="s">
        <v>25</v>
      </c>
      <c r="H12" s="3">
        <v>51</v>
      </c>
      <c r="I12" s="3">
        <v>13</v>
      </c>
      <c r="J12" s="3">
        <v>80</v>
      </c>
      <c r="K12" s="3">
        <v>2</v>
      </c>
      <c r="L12" s="3" t="s">
        <v>139</v>
      </c>
      <c r="M12" s="3">
        <v>8.6732112112786108</v>
      </c>
      <c r="N12" s="3" t="s">
        <v>157</v>
      </c>
      <c r="O12" s="3" t="s">
        <v>143</v>
      </c>
      <c r="P12" s="3">
        <v>29</v>
      </c>
      <c r="Q12" s="3">
        <v>921</v>
      </c>
      <c r="R12" s="3">
        <v>2</v>
      </c>
      <c r="S12" s="3">
        <v>38.072898520625998</v>
      </c>
      <c r="T12" s="3" t="s">
        <v>35</v>
      </c>
      <c r="U12" s="3">
        <f t="shared" si="0"/>
        <v>344.64318154268096</v>
      </c>
      <c r="V12" s="3">
        <v>3.46027290705503E-3</v>
      </c>
      <c r="W12" s="3">
        <v>0.34602729070550298</v>
      </c>
      <c r="X12" s="3" t="s">
        <v>36</v>
      </c>
      <c r="Y12" s="3" t="s">
        <v>141</v>
      </c>
      <c r="Z12">
        <v>4.1338652031081433E-2</v>
      </c>
      <c r="AA12">
        <v>31</v>
      </c>
      <c r="AB12">
        <v>1053.7150448212301</v>
      </c>
    </row>
    <row r="13" spans="1:28" x14ac:dyDescent="0.35">
      <c r="A13" s="5" t="s">
        <v>28</v>
      </c>
      <c r="B13" s="8" t="s">
        <v>48</v>
      </c>
      <c r="C13" s="3">
        <v>90.635459982288594</v>
      </c>
      <c r="D13" s="3">
        <v>95</v>
      </c>
      <c r="E13" s="3">
        <v>960</v>
      </c>
      <c r="F13" s="3">
        <v>6099.9441155814502</v>
      </c>
      <c r="G13" s="3" t="s">
        <v>30</v>
      </c>
      <c r="H13" s="3">
        <v>46</v>
      </c>
      <c r="I13" s="3">
        <v>23</v>
      </c>
      <c r="J13" s="3">
        <v>60</v>
      </c>
      <c r="K13" s="3">
        <v>1</v>
      </c>
      <c r="L13" s="3" t="s">
        <v>137</v>
      </c>
      <c r="M13" s="3">
        <v>4.5239431243166601</v>
      </c>
      <c r="N13" s="3" t="s">
        <v>154</v>
      </c>
      <c r="O13" s="3" t="s">
        <v>143</v>
      </c>
      <c r="P13" s="3">
        <v>4</v>
      </c>
      <c r="Q13" s="3">
        <v>452</v>
      </c>
      <c r="R13" s="3">
        <v>10</v>
      </c>
      <c r="S13" s="3">
        <v>10.754272815029299</v>
      </c>
      <c r="T13" s="3" t="s">
        <v>47</v>
      </c>
      <c r="U13" s="3">
        <f t="shared" si="0"/>
        <v>620.74037699717178</v>
      </c>
      <c r="V13" s="3">
        <v>6.4660455937205399E-3</v>
      </c>
      <c r="W13" s="3">
        <v>0.64660455937205397</v>
      </c>
      <c r="X13" s="3" t="s">
        <v>27</v>
      </c>
      <c r="Y13" s="3" t="s">
        <v>141</v>
      </c>
      <c r="Z13">
        <v>2.3792638971303761E-2</v>
      </c>
      <c r="AA13">
        <v>5</v>
      </c>
      <c r="AB13">
        <v>2551.7900021676151</v>
      </c>
    </row>
    <row r="14" spans="1:28" x14ac:dyDescent="0.35">
      <c r="A14" s="5" t="s">
        <v>23</v>
      </c>
      <c r="B14" s="8" t="s">
        <v>49</v>
      </c>
      <c r="C14" s="3">
        <v>71.213389075359999</v>
      </c>
      <c r="D14" s="3">
        <v>41</v>
      </c>
      <c r="E14" s="3">
        <v>336</v>
      </c>
      <c r="F14" s="3">
        <v>2873.74144602144</v>
      </c>
      <c r="G14" s="3" t="s">
        <v>32</v>
      </c>
      <c r="H14" s="3">
        <v>100</v>
      </c>
      <c r="I14" s="3">
        <v>30</v>
      </c>
      <c r="J14" s="3">
        <v>85</v>
      </c>
      <c r="K14" s="3">
        <v>4</v>
      </c>
      <c r="L14" s="3" t="s">
        <v>137</v>
      </c>
      <c r="M14" s="3">
        <v>1.32527401018452</v>
      </c>
      <c r="N14" s="3" t="s">
        <v>156</v>
      </c>
      <c r="O14" s="3" t="s">
        <v>147</v>
      </c>
      <c r="P14" s="3">
        <v>28</v>
      </c>
      <c r="Q14" s="3">
        <v>447</v>
      </c>
      <c r="R14" s="3">
        <v>3</v>
      </c>
      <c r="S14" s="3">
        <v>40.382359702924802</v>
      </c>
      <c r="T14" s="3" t="s">
        <v>26</v>
      </c>
      <c r="U14" s="3">
        <f t="shared" si="0"/>
        <v>1240.2802583232499</v>
      </c>
      <c r="V14" s="3">
        <v>3.6913102926287203E-2</v>
      </c>
      <c r="W14" s="3">
        <v>3.69131029262872</v>
      </c>
      <c r="X14" s="3" t="s">
        <v>33</v>
      </c>
      <c r="Y14" s="3" t="s">
        <v>140</v>
      </c>
      <c r="Z14">
        <v>9.0340849447259064E-2</v>
      </c>
      <c r="AA14">
        <v>32</v>
      </c>
      <c r="AB14">
        <v>3793.62386301469</v>
      </c>
    </row>
    <row r="15" spans="1:28" x14ac:dyDescent="0.35">
      <c r="A15" s="5" t="s">
        <v>28</v>
      </c>
      <c r="B15" s="8" t="s">
        <v>50</v>
      </c>
      <c r="C15" s="3">
        <v>16.160393317379899</v>
      </c>
      <c r="D15" s="3">
        <v>5</v>
      </c>
      <c r="E15" s="3">
        <v>249</v>
      </c>
      <c r="F15" s="3">
        <v>4052.7384162378598</v>
      </c>
      <c r="G15" s="3" t="s">
        <v>40</v>
      </c>
      <c r="H15" s="3">
        <v>80</v>
      </c>
      <c r="I15" s="3">
        <v>8</v>
      </c>
      <c r="J15" s="3">
        <v>48</v>
      </c>
      <c r="K15" s="3">
        <v>9</v>
      </c>
      <c r="L15" s="3" t="s">
        <v>137</v>
      </c>
      <c r="M15" s="3">
        <v>9.5372830611083295</v>
      </c>
      <c r="N15" s="3" t="s">
        <v>157</v>
      </c>
      <c r="O15" s="3" t="s">
        <v>144</v>
      </c>
      <c r="P15" s="3">
        <v>29</v>
      </c>
      <c r="Q15" s="3">
        <v>929</v>
      </c>
      <c r="R15" s="3">
        <v>24</v>
      </c>
      <c r="S15" s="3">
        <v>87.213057815135599</v>
      </c>
      <c r="T15" s="3" t="s">
        <v>35</v>
      </c>
      <c r="U15" s="3">
        <f t="shared" si="0"/>
        <v>710.41956354561341</v>
      </c>
      <c r="V15" s="3">
        <v>2.85309061664905E-2</v>
      </c>
      <c r="W15" s="3">
        <v>2.8530906166490499</v>
      </c>
      <c r="X15" s="3" t="s">
        <v>36</v>
      </c>
      <c r="Y15" s="3" t="s">
        <v>140</v>
      </c>
      <c r="Z15">
        <v>9.3878426065807971E-2</v>
      </c>
      <c r="AA15">
        <v>38</v>
      </c>
      <c r="AB15">
        <v>2150.8454848756801</v>
      </c>
    </row>
    <row r="16" spans="1:28" x14ac:dyDescent="0.35">
      <c r="A16" s="5" t="s">
        <v>28</v>
      </c>
      <c r="B16" s="8" t="s">
        <v>51</v>
      </c>
      <c r="C16" s="3">
        <v>99.171328638624104</v>
      </c>
      <c r="D16" s="3">
        <v>26</v>
      </c>
      <c r="E16" s="3">
        <v>562</v>
      </c>
      <c r="F16" s="3">
        <v>8653.5709264697998</v>
      </c>
      <c r="G16" s="3" t="s">
        <v>25</v>
      </c>
      <c r="H16" s="3">
        <v>54</v>
      </c>
      <c r="I16" s="3">
        <v>29</v>
      </c>
      <c r="J16" s="3">
        <v>78</v>
      </c>
      <c r="K16" s="3">
        <v>5</v>
      </c>
      <c r="L16" s="3" t="s">
        <v>138</v>
      </c>
      <c r="M16" s="3">
        <v>2.0397701894493299</v>
      </c>
      <c r="N16" s="3" t="s">
        <v>153</v>
      </c>
      <c r="O16" s="3" t="s">
        <v>145</v>
      </c>
      <c r="P16" s="3">
        <v>11</v>
      </c>
      <c r="Q16" s="3">
        <v>568</v>
      </c>
      <c r="R16" s="3">
        <v>29</v>
      </c>
      <c r="S16" s="3">
        <v>98.6099572427038</v>
      </c>
      <c r="T16" s="3" t="s">
        <v>26</v>
      </c>
      <c r="U16" s="3">
        <f t="shared" si="0"/>
        <v>754.36785825017432</v>
      </c>
      <c r="V16" s="3">
        <v>1.34229156272273E-2</v>
      </c>
      <c r="W16" s="3">
        <v>1.3422915627227301</v>
      </c>
      <c r="X16" s="3" t="s">
        <v>36</v>
      </c>
      <c r="Y16" s="3" t="s">
        <v>140</v>
      </c>
      <c r="Z16">
        <v>0.17360907965264755</v>
      </c>
      <c r="AA16">
        <v>16</v>
      </c>
      <c r="AB16">
        <v>981.64723056206003</v>
      </c>
    </row>
    <row r="17" spans="1:28" x14ac:dyDescent="0.35">
      <c r="A17" s="5" t="s">
        <v>28</v>
      </c>
      <c r="B17" s="8" t="s">
        <v>52</v>
      </c>
      <c r="C17" s="3">
        <v>36.989244928626903</v>
      </c>
      <c r="D17" s="3">
        <v>94</v>
      </c>
      <c r="E17" s="3">
        <v>469</v>
      </c>
      <c r="F17" s="3">
        <v>5442.0867853976697</v>
      </c>
      <c r="G17" s="3" t="s">
        <v>25</v>
      </c>
      <c r="H17" s="3">
        <v>9</v>
      </c>
      <c r="I17" s="3">
        <v>8</v>
      </c>
      <c r="J17" s="3">
        <v>69</v>
      </c>
      <c r="K17" s="3">
        <v>7</v>
      </c>
      <c r="L17" s="3" t="s">
        <v>138</v>
      </c>
      <c r="M17" s="3">
        <v>2.4220397232752</v>
      </c>
      <c r="N17" s="3" t="s">
        <v>153</v>
      </c>
      <c r="O17" s="3" t="s">
        <v>145</v>
      </c>
      <c r="P17" s="3">
        <v>25</v>
      </c>
      <c r="Q17" s="3">
        <v>558</v>
      </c>
      <c r="R17" s="3">
        <v>14</v>
      </c>
      <c r="S17" s="3">
        <v>5.7914366298629796</v>
      </c>
      <c r="T17" s="3" t="s">
        <v>26</v>
      </c>
      <c r="U17" s="3">
        <f t="shared" si="0"/>
        <v>47.220257384028621</v>
      </c>
      <c r="V17" s="3">
        <v>1.0068285156509301E-3</v>
      </c>
      <c r="W17" s="3">
        <v>0.100682851565093</v>
      </c>
      <c r="X17" s="3" t="s">
        <v>33</v>
      </c>
      <c r="Y17" s="3" t="s">
        <v>141</v>
      </c>
      <c r="Z17">
        <v>1.0378918691510716E-2</v>
      </c>
      <c r="AA17">
        <v>32</v>
      </c>
      <c r="AB17">
        <v>4646.1764498044449</v>
      </c>
    </row>
    <row r="18" spans="1:28" x14ac:dyDescent="0.35">
      <c r="A18" s="5" t="s">
        <v>28</v>
      </c>
      <c r="B18" s="8" t="s">
        <v>53</v>
      </c>
      <c r="C18" s="3">
        <v>7.5471721097912701</v>
      </c>
      <c r="D18" s="3">
        <v>74</v>
      </c>
      <c r="E18" s="3">
        <v>280</v>
      </c>
      <c r="F18" s="3">
        <v>6453.7979681762799</v>
      </c>
      <c r="G18" s="3" t="s">
        <v>30</v>
      </c>
      <c r="H18" s="3">
        <v>2</v>
      </c>
      <c r="I18" s="3">
        <v>5</v>
      </c>
      <c r="J18" s="3">
        <v>78</v>
      </c>
      <c r="K18" s="3">
        <v>1</v>
      </c>
      <c r="L18" s="3" t="s">
        <v>138</v>
      </c>
      <c r="M18" s="3">
        <v>4.1913245857054999</v>
      </c>
      <c r="N18" s="3" t="s">
        <v>153</v>
      </c>
      <c r="O18" s="3" t="s">
        <v>144</v>
      </c>
      <c r="P18" s="3">
        <v>29</v>
      </c>
      <c r="Q18" s="3">
        <v>215</v>
      </c>
      <c r="R18" s="3">
        <v>29</v>
      </c>
      <c r="S18" s="3">
        <v>46.279879240508301</v>
      </c>
      <c r="T18" s="3" t="s">
        <v>26</v>
      </c>
      <c r="U18" s="3">
        <f t="shared" si="0"/>
        <v>63.394901037978997</v>
      </c>
      <c r="V18" s="3">
        <v>2.2641036084992501E-3</v>
      </c>
      <c r="W18" s="3">
        <v>0.226410360849925</v>
      </c>
      <c r="X18" s="3" t="s">
        <v>27</v>
      </c>
      <c r="Y18" s="3" t="s">
        <v>141</v>
      </c>
      <c r="Z18">
        <v>0.21525525228143397</v>
      </c>
      <c r="AA18">
        <v>30</v>
      </c>
      <c r="AB18">
        <v>938.76037729601512</v>
      </c>
    </row>
    <row r="19" spans="1:28" x14ac:dyDescent="0.35">
      <c r="A19" s="5" t="s">
        <v>42</v>
      </c>
      <c r="B19" s="8" t="s">
        <v>54</v>
      </c>
      <c r="C19" s="3">
        <v>81.462534369237005</v>
      </c>
      <c r="D19" s="3">
        <v>82</v>
      </c>
      <c r="E19" s="3">
        <v>126</v>
      </c>
      <c r="F19" s="3">
        <v>2629.39643484526</v>
      </c>
      <c r="G19" s="3" t="s">
        <v>30</v>
      </c>
      <c r="H19" s="3">
        <v>45</v>
      </c>
      <c r="I19" s="3">
        <v>17</v>
      </c>
      <c r="J19" s="3">
        <v>85</v>
      </c>
      <c r="K19" s="3">
        <v>9</v>
      </c>
      <c r="L19" s="3" t="s">
        <v>139</v>
      </c>
      <c r="M19" s="3">
        <v>3.5854189582323399</v>
      </c>
      <c r="N19" s="3" t="s">
        <v>153</v>
      </c>
      <c r="O19" s="3" t="s">
        <v>143</v>
      </c>
      <c r="P19" s="3">
        <v>4</v>
      </c>
      <c r="Q19" s="3">
        <v>211</v>
      </c>
      <c r="R19" s="3">
        <v>2</v>
      </c>
      <c r="S19" s="3">
        <v>69.929345518672307</v>
      </c>
      <c r="T19" s="3" t="s">
        <v>35</v>
      </c>
      <c r="U19" s="3">
        <f t="shared" si="0"/>
        <v>173.1780539679645</v>
      </c>
      <c r="V19" s="3">
        <v>1.37442899974575E-2</v>
      </c>
      <c r="W19" s="3">
        <v>1.3744289997457499</v>
      </c>
      <c r="X19" s="3" t="s">
        <v>27</v>
      </c>
      <c r="Y19" s="3" t="s">
        <v>141</v>
      </c>
      <c r="Z19">
        <v>0.33141869914062705</v>
      </c>
      <c r="AA19">
        <v>13</v>
      </c>
      <c r="AB19">
        <v>4213.4341500232049</v>
      </c>
    </row>
    <row r="20" spans="1:28" x14ac:dyDescent="0.35">
      <c r="A20" s="5" t="s">
        <v>23</v>
      </c>
      <c r="B20" s="8" t="s">
        <v>55</v>
      </c>
      <c r="C20" s="3">
        <v>36.4436277704609</v>
      </c>
      <c r="D20" s="3">
        <v>23</v>
      </c>
      <c r="E20" s="3">
        <v>620</v>
      </c>
      <c r="F20" s="3">
        <v>9364.6735050761708</v>
      </c>
      <c r="G20" s="3" t="s">
        <v>32</v>
      </c>
      <c r="H20" s="3">
        <v>10</v>
      </c>
      <c r="I20" s="3">
        <v>10</v>
      </c>
      <c r="J20" s="3">
        <v>46</v>
      </c>
      <c r="K20" s="3">
        <v>8</v>
      </c>
      <c r="L20" s="3" t="s">
        <v>139</v>
      </c>
      <c r="M20" s="3">
        <v>4.3392247141107001</v>
      </c>
      <c r="N20" s="3" t="s">
        <v>154</v>
      </c>
      <c r="O20" s="3" t="s">
        <v>143</v>
      </c>
      <c r="P20" s="3">
        <v>8</v>
      </c>
      <c r="Q20" s="3">
        <v>202</v>
      </c>
      <c r="R20" s="3">
        <v>5</v>
      </c>
      <c r="S20" s="3">
        <v>76.961228023819999</v>
      </c>
      <c r="T20" s="3" t="s">
        <v>35</v>
      </c>
      <c r="U20" s="3">
        <f t="shared" si="0"/>
        <v>1766.7905630733046</v>
      </c>
      <c r="V20" s="3">
        <v>2.8496621985053299E-2</v>
      </c>
      <c r="W20" s="3">
        <v>2.8496621985053299</v>
      </c>
      <c r="X20" s="3" t="s">
        <v>41</v>
      </c>
      <c r="Y20" s="3" t="s">
        <v>141</v>
      </c>
      <c r="Z20">
        <v>0.38099617833574256</v>
      </c>
      <c r="AA20">
        <v>16</v>
      </c>
      <c r="AB20">
        <v>3938.89925247172</v>
      </c>
    </row>
    <row r="21" spans="1:28" x14ac:dyDescent="0.35">
      <c r="A21" s="5" t="s">
        <v>28</v>
      </c>
      <c r="B21" s="8" t="s">
        <v>56</v>
      </c>
      <c r="C21" s="3">
        <v>51.123870087964697</v>
      </c>
      <c r="D21" s="3">
        <v>100</v>
      </c>
      <c r="E21" s="3">
        <v>187</v>
      </c>
      <c r="F21" s="3">
        <v>2553.4955849912099</v>
      </c>
      <c r="G21" s="3" t="s">
        <v>32</v>
      </c>
      <c r="H21" s="3">
        <v>48</v>
      </c>
      <c r="I21" s="3">
        <v>11</v>
      </c>
      <c r="J21" s="3">
        <v>94</v>
      </c>
      <c r="K21" s="3">
        <v>3</v>
      </c>
      <c r="L21" s="3" t="s">
        <v>137</v>
      </c>
      <c r="M21" s="3">
        <v>4.7426358828418698</v>
      </c>
      <c r="N21" s="3" t="s">
        <v>156</v>
      </c>
      <c r="O21" s="3" t="s">
        <v>143</v>
      </c>
      <c r="P21" s="3">
        <v>28</v>
      </c>
      <c r="Q21" s="3">
        <v>581</v>
      </c>
      <c r="R21" s="3">
        <v>9</v>
      </c>
      <c r="S21" s="3">
        <v>5.6046908643717801</v>
      </c>
      <c r="T21" s="3" t="s">
        <v>26</v>
      </c>
      <c r="U21" s="3">
        <f t="shared" si="0"/>
        <v>543.81884566868553</v>
      </c>
      <c r="V21" s="3">
        <v>2.9081221693512599E-2</v>
      </c>
      <c r="W21" s="3">
        <v>2.9081221693512598</v>
      </c>
      <c r="X21" s="3" t="s">
        <v>36</v>
      </c>
      <c r="Y21" s="3" t="s">
        <v>140</v>
      </c>
      <c r="Z21">
        <v>9.6466279937552149E-3</v>
      </c>
      <c r="AA21">
        <v>31</v>
      </c>
      <c r="AB21">
        <v>4410.9943177352052</v>
      </c>
    </row>
    <row r="22" spans="1:28" x14ac:dyDescent="0.35">
      <c r="A22" s="5" t="s">
        <v>28</v>
      </c>
      <c r="B22" s="8" t="s">
        <v>57</v>
      </c>
      <c r="C22" s="3">
        <v>96.341072439963298</v>
      </c>
      <c r="D22" s="3">
        <v>22</v>
      </c>
      <c r="E22" s="3">
        <v>320</v>
      </c>
      <c r="F22" s="3">
        <v>8128.0276968511898</v>
      </c>
      <c r="G22" s="3" t="s">
        <v>32</v>
      </c>
      <c r="H22" s="3">
        <v>27</v>
      </c>
      <c r="I22" s="3">
        <v>12</v>
      </c>
      <c r="J22" s="3">
        <v>68</v>
      </c>
      <c r="K22" s="3">
        <v>6</v>
      </c>
      <c r="L22" s="3" t="s">
        <v>137</v>
      </c>
      <c r="M22" s="3">
        <v>8.8783346509268402</v>
      </c>
      <c r="N22" s="3" t="s">
        <v>153</v>
      </c>
      <c r="O22" s="3" t="s">
        <v>146</v>
      </c>
      <c r="P22" s="3">
        <v>17</v>
      </c>
      <c r="Q22" s="3">
        <v>328</v>
      </c>
      <c r="R22" s="3">
        <v>6</v>
      </c>
      <c r="S22" s="3">
        <v>8.6930424258772803</v>
      </c>
      <c r="T22" s="3" t="s">
        <v>35</v>
      </c>
      <c r="U22" s="3">
        <f t="shared" si="0"/>
        <v>51.035620709604487</v>
      </c>
      <c r="V22" s="3">
        <v>1.5948631471751401E-3</v>
      </c>
      <c r="W22" s="3">
        <v>0.15948631471751401</v>
      </c>
      <c r="X22" s="3" t="s">
        <v>33</v>
      </c>
      <c r="Y22" s="3" t="s">
        <v>142</v>
      </c>
      <c r="Z22">
        <v>2.6503178127674634E-2</v>
      </c>
      <c r="AA22">
        <v>23</v>
      </c>
      <c r="AB22">
        <v>3856.1254234057851</v>
      </c>
    </row>
    <row r="23" spans="1:28" x14ac:dyDescent="0.35">
      <c r="A23" s="5" t="s">
        <v>42</v>
      </c>
      <c r="B23" s="8" t="s">
        <v>58</v>
      </c>
      <c r="C23" s="3">
        <v>84.893868984950799</v>
      </c>
      <c r="D23" s="3">
        <v>60</v>
      </c>
      <c r="E23" s="3">
        <v>601</v>
      </c>
      <c r="F23" s="3">
        <v>7087.0526963574302</v>
      </c>
      <c r="G23" s="3" t="s">
        <v>32</v>
      </c>
      <c r="H23" s="3">
        <v>69</v>
      </c>
      <c r="I23" s="3">
        <v>25</v>
      </c>
      <c r="J23" s="3">
        <v>7</v>
      </c>
      <c r="K23" s="3">
        <v>6</v>
      </c>
      <c r="L23" s="3" t="s">
        <v>138</v>
      </c>
      <c r="M23" s="3">
        <v>6.0378837692182898</v>
      </c>
      <c r="N23" s="3" t="s">
        <v>157</v>
      </c>
      <c r="O23" s="3" t="s">
        <v>147</v>
      </c>
      <c r="P23" s="3">
        <v>22</v>
      </c>
      <c r="Q23" s="3">
        <v>564</v>
      </c>
      <c r="R23" s="3">
        <v>1</v>
      </c>
      <c r="S23" s="3">
        <v>99.466108603599096</v>
      </c>
      <c r="T23" s="3" t="s">
        <v>35</v>
      </c>
      <c r="U23" s="3">
        <f t="shared" si="0"/>
        <v>239.30448929724065</v>
      </c>
      <c r="V23" s="3">
        <v>3.9817718685065005E-3</v>
      </c>
      <c r="W23" s="3">
        <v>0.39817718685065001</v>
      </c>
      <c r="X23" s="3" t="s">
        <v>27</v>
      </c>
      <c r="Y23" s="3" t="s">
        <v>142</v>
      </c>
      <c r="Z23">
        <v>0.17635834858794167</v>
      </c>
      <c r="AA23">
        <v>28</v>
      </c>
      <c r="AB23">
        <v>4010.2815590877899</v>
      </c>
    </row>
    <row r="24" spans="1:28" x14ac:dyDescent="0.35">
      <c r="A24" s="5" t="s">
        <v>23</v>
      </c>
      <c r="B24" s="8" t="s">
        <v>59</v>
      </c>
      <c r="C24" s="3">
        <v>27.679780886501899</v>
      </c>
      <c r="D24" s="3">
        <v>55</v>
      </c>
      <c r="E24" s="3">
        <v>884</v>
      </c>
      <c r="F24" s="3">
        <v>2390.8078665561702</v>
      </c>
      <c r="G24" s="3" t="s">
        <v>32</v>
      </c>
      <c r="H24" s="3">
        <v>71</v>
      </c>
      <c r="I24" s="3">
        <v>1</v>
      </c>
      <c r="J24" s="3">
        <v>63</v>
      </c>
      <c r="K24" s="3">
        <v>10</v>
      </c>
      <c r="L24" s="3" t="s">
        <v>137</v>
      </c>
      <c r="M24" s="3">
        <v>9.5676489209230393</v>
      </c>
      <c r="N24" s="3" t="s">
        <v>156</v>
      </c>
      <c r="O24" s="3" t="s">
        <v>145</v>
      </c>
      <c r="P24" s="3">
        <v>16</v>
      </c>
      <c r="Q24" s="3">
        <v>358</v>
      </c>
      <c r="R24" s="3">
        <v>21</v>
      </c>
      <c r="S24" s="3">
        <v>1.59722274305067</v>
      </c>
      <c r="T24" s="3" t="s">
        <v>35</v>
      </c>
      <c r="U24" s="3">
        <f t="shared" si="0"/>
        <v>4341.4088240806195</v>
      </c>
      <c r="V24" s="3">
        <v>4.9110959548423302E-2</v>
      </c>
      <c r="W24" s="3">
        <v>4.9110959548423301</v>
      </c>
      <c r="X24" s="3" t="s">
        <v>36</v>
      </c>
      <c r="Y24" s="3" t="s">
        <v>142</v>
      </c>
      <c r="Z24">
        <v>4.4615160420409779E-3</v>
      </c>
      <c r="AA24">
        <v>26</v>
      </c>
      <c r="AB24">
        <v>2779.2955183587151</v>
      </c>
    </row>
    <row r="25" spans="1:28" x14ac:dyDescent="0.35">
      <c r="A25" s="5" t="s">
        <v>42</v>
      </c>
      <c r="B25" s="8" t="s">
        <v>60</v>
      </c>
      <c r="C25" s="3">
        <v>4.3243411858641601</v>
      </c>
      <c r="D25" s="3">
        <v>30</v>
      </c>
      <c r="E25" s="3">
        <v>391</v>
      </c>
      <c r="F25" s="3">
        <v>8858.3675710114803</v>
      </c>
      <c r="G25" s="3" t="s">
        <v>32</v>
      </c>
      <c r="H25" s="3">
        <v>84</v>
      </c>
      <c r="I25" s="3">
        <v>5</v>
      </c>
      <c r="J25" s="3">
        <v>29</v>
      </c>
      <c r="K25" s="3">
        <v>7</v>
      </c>
      <c r="L25" s="3" t="s">
        <v>137</v>
      </c>
      <c r="M25" s="3">
        <v>2.92485760114555</v>
      </c>
      <c r="N25" s="3" t="s">
        <v>157</v>
      </c>
      <c r="O25" s="3" t="s">
        <v>145</v>
      </c>
      <c r="P25" s="3">
        <v>24</v>
      </c>
      <c r="Q25" s="3">
        <v>867</v>
      </c>
      <c r="R25" s="3">
        <v>28</v>
      </c>
      <c r="S25" s="3">
        <v>42.084436738309897</v>
      </c>
      <c r="T25" s="3" t="s">
        <v>35</v>
      </c>
      <c r="U25" s="3">
        <f t="shared" si="0"/>
        <v>1348.1927457410416</v>
      </c>
      <c r="V25" s="3">
        <v>3.4480632883402598E-2</v>
      </c>
      <c r="W25" s="3">
        <v>3.44806328834026</v>
      </c>
      <c r="X25" s="3" t="s">
        <v>27</v>
      </c>
      <c r="Y25" s="3" t="s">
        <v>140</v>
      </c>
      <c r="Z25">
        <v>4.8540296122618107E-2</v>
      </c>
      <c r="AA25">
        <v>31</v>
      </c>
      <c r="AB25">
        <v>1969.2167428921352</v>
      </c>
    </row>
    <row r="26" spans="1:28" x14ac:dyDescent="0.35">
      <c r="A26" s="5" t="s">
        <v>23</v>
      </c>
      <c r="B26" s="8" t="s">
        <v>61</v>
      </c>
      <c r="C26" s="3">
        <v>4.1563083593111001</v>
      </c>
      <c r="D26" s="3">
        <v>32</v>
      </c>
      <c r="E26" s="3">
        <v>209</v>
      </c>
      <c r="F26" s="3">
        <v>9049.0778609398894</v>
      </c>
      <c r="G26" s="3" t="s">
        <v>40</v>
      </c>
      <c r="H26" s="3">
        <v>4</v>
      </c>
      <c r="I26" s="3">
        <v>26</v>
      </c>
      <c r="J26" s="3">
        <v>2</v>
      </c>
      <c r="K26" s="3">
        <v>8</v>
      </c>
      <c r="L26" s="3" t="s">
        <v>139</v>
      </c>
      <c r="M26" s="3">
        <v>9.7412916892843597</v>
      </c>
      <c r="N26" s="3" t="s">
        <v>154</v>
      </c>
      <c r="O26" s="3" t="s">
        <v>145</v>
      </c>
      <c r="P26" s="3">
        <v>16</v>
      </c>
      <c r="Q26" s="3">
        <v>329</v>
      </c>
      <c r="R26" s="3">
        <v>7</v>
      </c>
      <c r="S26" s="3">
        <v>39.292875586065698</v>
      </c>
      <c r="T26" s="3" t="s">
        <v>47</v>
      </c>
      <c r="U26" s="3">
        <f t="shared" si="0"/>
        <v>810.52267774699237</v>
      </c>
      <c r="V26" s="3">
        <v>3.8780989365884803E-2</v>
      </c>
      <c r="W26" s="3">
        <v>3.8780989365884802</v>
      </c>
      <c r="X26" s="3" t="s">
        <v>27</v>
      </c>
      <c r="Y26" s="3" t="s">
        <v>141</v>
      </c>
      <c r="Z26">
        <v>0.11943123278439421</v>
      </c>
      <c r="AA26">
        <v>24</v>
      </c>
      <c r="AB26">
        <v>3824.6768797035402</v>
      </c>
    </row>
    <row r="27" spans="1:28" x14ac:dyDescent="0.35">
      <c r="A27" s="5" t="s">
        <v>23</v>
      </c>
      <c r="B27" s="8" t="s">
        <v>62</v>
      </c>
      <c r="C27" s="3">
        <v>39.629343985092603</v>
      </c>
      <c r="D27" s="3">
        <v>73</v>
      </c>
      <c r="E27" s="3">
        <v>142</v>
      </c>
      <c r="F27" s="3">
        <v>2174.7770543506499</v>
      </c>
      <c r="G27" s="3" t="s">
        <v>40</v>
      </c>
      <c r="H27" s="3">
        <v>82</v>
      </c>
      <c r="I27" s="3">
        <v>11</v>
      </c>
      <c r="J27" s="3">
        <v>52</v>
      </c>
      <c r="K27" s="3">
        <v>3</v>
      </c>
      <c r="L27" s="3" t="s">
        <v>139</v>
      </c>
      <c r="M27" s="3">
        <v>2.2310736812817198</v>
      </c>
      <c r="N27" s="3" t="s">
        <v>156</v>
      </c>
      <c r="O27" s="3" t="s">
        <v>146</v>
      </c>
      <c r="P27" s="3">
        <v>1</v>
      </c>
      <c r="Q27" s="3">
        <v>631</v>
      </c>
      <c r="R27" s="3">
        <v>17</v>
      </c>
      <c r="S27" s="3">
        <v>83.344058991677898</v>
      </c>
      <c r="T27" s="3" t="s">
        <v>26</v>
      </c>
      <c r="U27" s="3">
        <f t="shared" si="0"/>
        <v>200.26935580279485</v>
      </c>
      <c r="V27" s="3">
        <v>1.41034757607602E-2</v>
      </c>
      <c r="W27" s="3">
        <v>1.41034757607602</v>
      </c>
      <c r="X27" s="3" t="s">
        <v>33</v>
      </c>
      <c r="Y27" s="3" t="s">
        <v>141</v>
      </c>
      <c r="Z27">
        <v>0.13208250236399033</v>
      </c>
      <c r="AA27">
        <v>4</v>
      </c>
      <c r="AB27">
        <v>3753.6892033413501</v>
      </c>
    </row>
    <row r="28" spans="1:28" x14ac:dyDescent="0.35">
      <c r="A28" s="5" t="s">
        <v>23</v>
      </c>
      <c r="B28" s="8" t="s">
        <v>63</v>
      </c>
      <c r="C28" s="3">
        <v>97.446946617892806</v>
      </c>
      <c r="D28" s="3">
        <v>9</v>
      </c>
      <c r="E28" s="3">
        <v>353</v>
      </c>
      <c r="F28" s="3">
        <v>3716.49332589403</v>
      </c>
      <c r="G28" s="3" t="s">
        <v>40</v>
      </c>
      <c r="H28" s="3">
        <v>59</v>
      </c>
      <c r="I28" s="3">
        <v>16</v>
      </c>
      <c r="J28" s="3">
        <v>48</v>
      </c>
      <c r="K28" s="3">
        <v>4</v>
      </c>
      <c r="L28" s="3" t="s">
        <v>138</v>
      </c>
      <c r="M28" s="3">
        <v>6.5075486210785503</v>
      </c>
      <c r="N28" s="3" t="s">
        <v>154</v>
      </c>
      <c r="O28" s="3" t="s">
        <v>147</v>
      </c>
      <c r="P28" s="3">
        <v>2</v>
      </c>
      <c r="Q28" s="3">
        <v>258</v>
      </c>
      <c r="R28" s="3">
        <v>10</v>
      </c>
      <c r="S28" s="3">
        <v>30.661677477859499</v>
      </c>
      <c r="T28" s="3" t="s">
        <v>26</v>
      </c>
      <c r="U28" s="3">
        <f t="shared" si="0"/>
        <v>733.79896457986092</v>
      </c>
      <c r="V28" s="3">
        <v>2.0787506078749601E-2</v>
      </c>
      <c r="W28" s="3">
        <v>2.07875060787496</v>
      </c>
      <c r="X28" s="3" t="s">
        <v>27</v>
      </c>
      <c r="Y28" s="3" t="s">
        <v>140</v>
      </c>
      <c r="Z28">
        <v>0.11884371115449419</v>
      </c>
      <c r="AA28">
        <v>6</v>
      </c>
      <c r="AB28">
        <v>2025.835339444275</v>
      </c>
    </row>
    <row r="29" spans="1:28" x14ac:dyDescent="0.35">
      <c r="A29" s="5" t="s">
        <v>42</v>
      </c>
      <c r="B29" s="8" t="s">
        <v>64</v>
      </c>
      <c r="C29" s="3">
        <v>92.557360812401996</v>
      </c>
      <c r="D29" s="3">
        <v>42</v>
      </c>
      <c r="E29" s="3">
        <v>352</v>
      </c>
      <c r="F29" s="3">
        <v>2686.4572235759802</v>
      </c>
      <c r="G29" s="3" t="s">
        <v>32</v>
      </c>
      <c r="H29" s="3">
        <v>47</v>
      </c>
      <c r="I29" s="3">
        <v>9</v>
      </c>
      <c r="J29" s="3">
        <v>62</v>
      </c>
      <c r="K29" s="3">
        <v>8</v>
      </c>
      <c r="L29" s="3" t="s">
        <v>139</v>
      </c>
      <c r="M29" s="3">
        <v>7.4067509529980704</v>
      </c>
      <c r="N29" s="3" t="s">
        <v>157</v>
      </c>
      <c r="O29" s="3" t="s">
        <v>143</v>
      </c>
      <c r="P29" s="3">
        <v>29</v>
      </c>
      <c r="Q29" s="3">
        <v>309</v>
      </c>
      <c r="R29" s="3">
        <v>6</v>
      </c>
      <c r="S29" s="3">
        <v>65.686259608488598</v>
      </c>
      <c r="T29" s="3" t="s">
        <v>47</v>
      </c>
      <c r="U29" s="3">
        <f t="shared" si="0"/>
        <v>1489.4586338841548</v>
      </c>
      <c r="V29" s="3">
        <v>4.2314165735345306E-2</v>
      </c>
      <c r="W29" s="3">
        <v>4.2314165735345304</v>
      </c>
      <c r="X29" s="3" t="s">
        <v>33</v>
      </c>
      <c r="Y29" s="3" t="s">
        <v>141</v>
      </c>
      <c r="Z29">
        <v>0.2125768919368563</v>
      </c>
      <c r="AA29">
        <v>37</v>
      </c>
      <c r="AB29">
        <v>2469.3560765810248</v>
      </c>
    </row>
    <row r="30" spans="1:28" x14ac:dyDescent="0.35">
      <c r="A30" s="5" t="s">
        <v>42</v>
      </c>
      <c r="B30" s="8" t="s">
        <v>65</v>
      </c>
      <c r="C30" s="3">
        <v>2.3972747055971402</v>
      </c>
      <c r="D30" s="3">
        <v>12</v>
      </c>
      <c r="E30" s="3">
        <v>394</v>
      </c>
      <c r="F30" s="3">
        <v>6117.3246150839896</v>
      </c>
      <c r="G30" s="3" t="s">
        <v>30</v>
      </c>
      <c r="H30" s="3">
        <v>48</v>
      </c>
      <c r="I30" s="3">
        <v>15</v>
      </c>
      <c r="J30" s="3">
        <v>24</v>
      </c>
      <c r="K30" s="3">
        <v>4</v>
      </c>
      <c r="L30" s="3" t="s">
        <v>138</v>
      </c>
      <c r="M30" s="3">
        <v>9.8981405080692202</v>
      </c>
      <c r="N30" s="3" t="s">
        <v>153</v>
      </c>
      <c r="O30" s="3" t="s">
        <v>146</v>
      </c>
      <c r="P30" s="3">
        <v>28</v>
      </c>
      <c r="Q30" s="3">
        <v>177</v>
      </c>
      <c r="R30" s="3">
        <v>28</v>
      </c>
      <c r="S30" s="3">
        <v>14.1478154439792</v>
      </c>
      <c r="T30" s="3" t="s">
        <v>47</v>
      </c>
      <c r="U30" s="3">
        <f t="shared" si="0"/>
        <v>1113.3707102476512</v>
      </c>
      <c r="V30" s="3">
        <v>2.8258139854001302E-2</v>
      </c>
      <c r="W30" s="3">
        <v>2.8258139854001301</v>
      </c>
      <c r="X30" s="3" t="s">
        <v>36</v>
      </c>
      <c r="Y30" s="3" t="s">
        <v>140</v>
      </c>
      <c r="Z30">
        <v>7.9931160700447451E-2</v>
      </c>
      <c r="AA30">
        <v>32</v>
      </c>
      <c r="AB30">
        <v>1684.4508425998852</v>
      </c>
    </row>
    <row r="31" spans="1:28" x14ac:dyDescent="0.35">
      <c r="A31" s="5" t="s">
        <v>42</v>
      </c>
      <c r="B31" s="8" t="s">
        <v>66</v>
      </c>
      <c r="C31" s="3">
        <v>63.447559185207297</v>
      </c>
      <c r="D31" s="3">
        <v>3</v>
      </c>
      <c r="E31" s="3">
        <v>253</v>
      </c>
      <c r="F31" s="3">
        <v>8318.9031946171708</v>
      </c>
      <c r="G31" s="3" t="s">
        <v>30</v>
      </c>
      <c r="H31" s="3">
        <v>45</v>
      </c>
      <c r="I31" s="3">
        <v>5</v>
      </c>
      <c r="J31" s="3">
        <v>67</v>
      </c>
      <c r="K31" s="3">
        <v>7</v>
      </c>
      <c r="L31" s="3" t="s">
        <v>138</v>
      </c>
      <c r="M31" s="3">
        <v>8.1009731453970293</v>
      </c>
      <c r="N31" s="3" t="s">
        <v>153</v>
      </c>
      <c r="O31" s="3" t="s">
        <v>143</v>
      </c>
      <c r="P31" s="3">
        <v>13</v>
      </c>
      <c r="Q31" s="3">
        <v>444</v>
      </c>
      <c r="R31" s="3">
        <v>4</v>
      </c>
      <c r="S31" s="3">
        <v>46.870238797617098</v>
      </c>
      <c r="T31" s="3" t="s">
        <v>35</v>
      </c>
      <c r="U31" s="3">
        <f t="shared" si="0"/>
        <v>1168.9981543219662</v>
      </c>
      <c r="V31" s="3">
        <v>4.6205460645137003E-2</v>
      </c>
      <c r="W31" s="3">
        <v>4.6205460645137002</v>
      </c>
      <c r="X31" s="3" t="s">
        <v>27</v>
      </c>
      <c r="Y31" s="3" t="s">
        <v>140</v>
      </c>
      <c r="Z31">
        <v>0.105563600895534</v>
      </c>
      <c r="AA31">
        <v>20</v>
      </c>
      <c r="AB31">
        <v>4332.3640006482847</v>
      </c>
    </row>
    <row r="32" spans="1:28" x14ac:dyDescent="0.35">
      <c r="A32" s="5" t="s">
        <v>23</v>
      </c>
      <c r="B32" s="8" t="s">
        <v>67</v>
      </c>
      <c r="C32" s="3">
        <v>8.0228592105263896</v>
      </c>
      <c r="D32" s="3">
        <v>10</v>
      </c>
      <c r="E32" s="3">
        <v>327</v>
      </c>
      <c r="F32" s="3">
        <v>2766.3423668660798</v>
      </c>
      <c r="G32" s="3" t="s">
        <v>40</v>
      </c>
      <c r="H32" s="3">
        <v>60</v>
      </c>
      <c r="I32" s="3">
        <v>26</v>
      </c>
      <c r="J32" s="3">
        <v>35</v>
      </c>
      <c r="K32" s="3">
        <v>7</v>
      </c>
      <c r="L32" s="3" t="s">
        <v>138</v>
      </c>
      <c r="M32" s="3">
        <v>8.9545283153180097</v>
      </c>
      <c r="N32" s="3" t="s">
        <v>156</v>
      </c>
      <c r="O32" s="3" t="s">
        <v>147</v>
      </c>
      <c r="P32" s="3">
        <v>5</v>
      </c>
      <c r="Q32" s="3">
        <v>228</v>
      </c>
      <c r="R32" s="3">
        <v>12</v>
      </c>
      <c r="S32" s="3">
        <v>57.870902924036201</v>
      </c>
      <c r="T32" s="3" t="s">
        <v>26</v>
      </c>
      <c r="U32" s="3">
        <f t="shared" si="0"/>
        <v>54.240022186158811</v>
      </c>
      <c r="V32" s="3">
        <v>1.65871627480608E-3</v>
      </c>
      <c r="W32" s="3">
        <v>0.16587162748060799</v>
      </c>
      <c r="X32" s="3" t="s">
        <v>33</v>
      </c>
      <c r="Y32" s="3" t="s">
        <v>142</v>
      </c>
      <c r="Z32">
        <v>0.25381974966682547</v>
      </c>
      <c r="AA32">
        <v>12</v>
      </c>
      <c r="AB32">
        <v>1757.5210966751899</v>
      </c>
    </row>
    <row r="33" spans="1:28" x14ac:dyDescent="0.35">
      <c r="A33" s="5" t="s">
        <v>28</v>
      </c>
      <c r="B33" s="8" t="s">
        <v>68</v>
      </c>
      <c r="C33" s="3">
        <v>50.847393051718697</v>
      </c>
      <c r="D33" s="3">
        <v>28</v>
      </c>
      <c r="E33" s="3">
        <v>168</v>
      </c>
      <c r="F33" s="3">
        <v>9655.1351027193905</v>
      </c>
      <c r="G33" s="3" t="s">
        <v>40</v>
      </c>
      <c r="H33" s="3">
        <v>6</v>
      </c>
      <c r="I33" s="3">
        <v>17</v>
      </c>
      <c r="J33" s="3">
        <v>44</v>
      </c>
      <c r="K33" s="3">
        <v>4</v>
      </c>
      <c r="L33" s="3" t="s">
        <v>138</v>
      </c>
      <c r="M33" s="3">
        <v>2.6796609649813998</v>
      </c>
      <c r="N33" s="3" t="s">
        <v>155</v>
      </c>
      <c r="O33" s="3" t="s">
        <v>146</v>
      </c>
      <c r="P33" s="3">
        <v>12</v>
      </c>
      <c r="Q33" s="3">
        <v>908</v>
      </c>
      <c r="R33" s="3">
        <v>14</v>
      </c>
      <c r="S33" s="3">
        <v>60.387378614862101</v>
      </c>
      <c r="T33" s="3" t="s">
        <v>47</v>
      </c>
      <c r="U33" s="3">
        <f t="shared" si="0"/>
        <v>245.88605974342536</v>
      </c>
      <c r="V33" s="3">
        <v>1.4636074984727701E-2</v>
      </c>
      <c r="W33" s="3">
        <v>1.4636074984727701</v>
      </c>
      <c r="X33" s="3" t="s">
        <v>36</v>
      </c>
      <c r="Y33" s="3" t="s">
        <v>141</v>
      </c>
      <c r="Z33">
        <v>6.6505923584649893E-2</v>
      </c>
      <c r="AA33">
        <v>16</v>
      </c>
      <c r="AB33">
        <v>4233.3262849334697</v>
      </c>
    </row>
    <row r="34" spans="1:28" x14ac:dyDescent="0.35">
      <c r="A34" s="5" t="s">
        <v>28</v>
      </c>
      <c r="B34" s="8" t="s">
        <v>69</v>
      </c>
      <c r="C34" s="3">
        <v>79.209936015656695</v>
      </c>
      <c r="D34" s="3">
        <v>43</v>
      </c>
      <c r="E34" s="3">
        <v>781</v>
      </c>
      <c r="F34" s="3">
        <v>9571.5504873278096</v>
      </c>
      <c r="G34" s="3" t="s">
        <v>32</v>
      </c>
      <c r="H34" s="3">
        <v>89</v>
      </c>
      <c r="I34" s="3">
        <v>13</v>
      </c>
      <c r="J34" s="3">
        <v>64</v>
      </c>
      <c r="K34" s="3">
        <v>4</v>
      </c>
      <c r="L34" s="3" t="s">
        <v>139</v>
      </c>
      <c r="M34" s="3">
        <v>6.5991049012385803</v>
      </c>
      <c r="N34" s="3" t="s">
        <v>155</v>
      </c>
      <c r="O34" s="3" t="s">
        <v>145</v>
      </c>
      <c r="P34" s="3">
        <v>14</v>
      </c>
      <c r="Q34" s="3">
        <v>314</v>
      </c>
      <c r="R34" s="3">
        <v>24</v>
      </c>
      <c r="S34" s="3">
        <v>1.0850685695870601</v>
      </c>
      <c r="T34" s="3" t="s">
        <v>26</v>
      </c>
      <c r="U34" s="3">
        <f t="shared" si="0"/>
        <v>781.71119367652545</v>
      </c>
      <c r="V34" s="3">
        <v>1.00091061930413E-2</v>
      </c>
      <c r="W34" s="3">
        <v>1.0009106193041299</v>
      </c>
      <c r="X34" s="3" t="s">
        <v>41</v>
      </c>
      <c r="Y34" s="3" t="s">
        <v>140</v>
      </c>
      <c r="Z34">
        <v>3.4556323872199368E-3</v>
      </c>
      <c r="AA34">
        <v>18</v>
      </c>
      <c r="AB34">
        <v>671.84548430515508</v>
      </c>
    </row>
    <row r="35" spans="1:28" x14ac:dyDescent="0.35">
      <c r="A35" s="5" t="s">
        <v>42</v>
      </c>
      <c r="B35" s="8" t="s">
        <v>70</v>
      </c>
      <c r="C35" s="3">
        <v>64.795435000155607</v>
      </c>
      <c r="D35" s="3">
        <v>63</v>
      </c>
      <c r="E35" s="3">
        <v>616</v>
      </c>
      <c r="F35" s="3">
        <v>5149.9983504080301</v>
      </c>
      <c r="G35" s="3" t="s">
        <v>25</v>
      </c>
      <c r="H35" s="3">
        <v>4</v>
      </c>
      <c r="I35" s="3">
        <v>17</v>
      </c>
      <c r="J35" s="3">
        <v>95</v>
      </c>
      <c r="K35" s="3">
        <v>9</v>
      </c>
      <c r="L35" s="3" t="s">
        <v>139</v>
      </c>
      <c r="M35" s="3">
        <v>4.85827050343664</v>
      </c>
      <c r="N35" s="3" t="s">
        <v>157</v>
      </c>
      <c r="O35" s="3" t="s">
        <v>145</v>
      </c>
      <c r="P35" s="3">
        <v>24</v>
      </c>
      <c r="Q35" s="3">
        <v>937</v>
      </c>
      <c r="R35" s="3">
        <v>18</v>
      </c>
      <c r="S35" s="3">
        <v>35.624741397125</v>
      </c>
      <c r="T35" s="3" t="s">
        <v>35</v>
      </c>
      <c r="U35" s="3">
        <f t="shared" si="0"/>
        <v>2923.9355503190136</v>
      </c>
      <c r="V35" s="3">
        <v>4.7466486206477497E-2</v>
      </c>
      <c r="W35" s="3">
        <v>4.7466486206477496</v>
      </c>
      <c r="X35" s="3" t="s">
        <v>36</v>
      </c>
      <c r="Y35" s="3" t="s">
        <v>140</v>
      </c>
      <c r="Z35">
        <v>3.8020001491061897E-2</v>
      </c>
      <c r="AA35">
        <v>33</v>
      </c>
      <c r="AB35">
        <v>1273.88079609643</v>
      </c>
    </row>
    <row r="36" spans="1:28" x14ac:dyDescent="0.35">
      <c r="A36" s="5" t="s">
        <v>28</v>
      </c>
      <c r="B36" s="8" t="s">
        <v>71</v>
      </c>
      <c r="C36" s="3">
        <v>37.467592329842397</v>
      </c>
      <c r="D36" s="3">
        <v>96</v>
      </c>
      <c r="E36" s="3">
        <v>602</v>
      </c>
      <c r="F36" s="3">
        <v>9061.7108955077201</v>
      </c>
      <c r="G36" s="3" t="s">
        <v>32</v>
      </c>
      <c r="H36" s="3">
        <v>1</v>
      </c>
      <c r="I36" s="3">
        <v>26</v>
      </c>
      <c r="J36" s="3">
        <v>21</v>
      </c>
      <c r="K36" s="3">
        <v>7</v>
      </c>
      <c r="L36" s="3" t="s">
        <v>137</v>
      </c>
      <c r="M36" s="3">
        <v>1.0194875708221101</v>
      </c>
      <c r="N36" s="3" t="s">
        <v>153</v>
      </c>
      <c r="O36" s="3" t="s">
        <v>144</v>
      </c>
      <c r="P36" s="3">
        <v>28</v>
      </c>
      <c r="Q36" s="3">
        <v>648</v>
      </c>
      <c r="R36" s="3">
        <v>28</v>
      </c>
      <c r="S36" s="3">
        <v>17.803756331391199</v>
      </c>
      <c r="T36" s="3" t="s">
        <v>26</v>
      </c>
      <c r="U36" s="3">
        <f t="shared" si="0"/>
        <v>2330.9727042522422</v>
      </c>
      <c r="V36" s="3">
        <v>3.8720476814821297E-2</v>
      </c>
      <c r="W36" s="3">
        <v>3.8720476814821301</v>
      </c>
      <c r="X36" s="3" t="s">
        <v>27</v>
      </c>
      <c r="Y36" s="3" t="s">
        <v>140</v>
      </c>
      <c r="Z36">
        <v>2.7474932610171605E-2</v>
      </c>
      <c r="AA36">
        <v>35</v>
      </c>
      <c r="AB36">
        <v>943.71070574528005</v>
      </c>
    </row>
    <row r="37" spans="1:28" x14ac:dyDescent="0.35">
      <c r="A37" s="5" t="s">
        <v>42</v>
      </c>
      <c r="B37" s="8" t="s">
        <v>72</v>
      </c>
      <c r="C37" s="3">
        <v>84.957786816350406</v>
      </c>
      <c r="D37" s="3">
        <v>11</v>
      </c>
      <c r="E37" s="3">
        <v>449</v>
      </c>
      <c r="F37" s="3">
        <v>6541.3293448024597</v>
      </c>
      <c r="G37" s="3" t="s">
        <v>30</v>
      </c>
      <c r="H37" s="3">
        <v>42</v>
      </c>
      <c r="I37" s="3">
        <v>27</v>
      </c>
      <c r="J37" s="3">
        <v>85</v>
      </c>
      <c r="K37" s="3">
        <v>8</v>
      </c>
      <c r="L37" s="3" t="s">
        <v>139</v>
      </c>
      <c r="M37" s="3">
        <v>5.2881899903273997</v>
      </c>
      <c r="N37" s="3" t="s">
        <v>153</v>
      </c>
      <c r="O37" s="3" t="s">
        <v>146</v>
      </c>
      <c r="P37" s="3">
        <v>26</v>
      </c>
      <c r="Q37" s="3">
        <v>671</v>
      </c>
      <c r="R37" s="3">
        <v>19</v>
      </c>
      <c r="S37" s="3">
        <v>45.531364237162101</v>
      </c>
      <c r="T37" s="3" t="s">
        <v>35</v>
      </c>
      <c r="U37" s="3">
        <f t="shared" si="0"/>
        <v>1708.6844872802642</v>
      </c>
      <c r="V37" s="3">
        <v>3.8055333792433504E-2</v>
      </c>
      <c r="W37" s="3">
        <v>3.8055333792433501</v>
      </c>
      <c r="X37" s="3" t="s">
        <v>33</v>
      </c>
      <c r="Y37" s="3" t="s">
        <v>142</v>
      </c>
      <c r="Z37">
        <v>6.7855982469690171E-2</v>
      </c>
      <c r="AA37">
        <v>34</v>
      </c>
      <c r="AB37">
        <v>2019.0448712409</v>
      </c>
    </row>
    <row r="38" spans="1:28" x14ac:dyDescent="0.35">
      <c r="A38" s="5" t="s">
        <v>28</v>
      </c>
      <c r="B38" s="8" t="s">
        <v>73</v>
      </c>
      <c r="C38" s="3">
        <v>9.81300257875405</v>
      </c>
      <c r="D38" s="3">
        <v>34</v>
      </c>
      <c r="E38" s="3">
        <v>963</v>
      </c>
      <c r="F38" s="3">
        <v>7573.4024578487297</v>
      </c>
      <c r="G38" s="3" t="s">
        <v>30</v>
      </c>
      <c r="H38" s="3">
        <v>18</v>
      </c>
      <c r="I38" s="3">
        <v>23</v>
      </c>
      <c r="J38" s="3">
        <v>28</v>
      </c>
      <c r="K38" s="3">
        <v>3</v>
      </c>
      <c r="L38" s="3" t="s">
        <v>138</v>
      </c>
      <c r="M38" s="3">
        <v>2.1079512671590801</v>
      </c>
      <c r="N38" s="3" t="s">
        <v>154</v>
      </c>
      <c r="O38" s="3" t="s">
        <v>144</v>
      </c>
      <c r="P38" s="3">
        <v>13</v>
      </c>
      <c r="Q38" s="3">
        <v>769</v>
      </c>
      <c r="R38" s="3">
        <v>8</v>
      </c>
      <c r="S38" s="3">
        <v>11.423027139565599</v>
      </c>
      <c r="T38" s="3" t="s">
        <v>26</v>
      </c>
      <c r="U38" s="3">
        <f t="shared" si="0"/>
        <v>2609.5977715388917</v>
      </c>
      <c r="V38" s="3">
        <v>2.7098626911099603E-2</v>
      </c>
      <c r="W38" s="3">
        <v>2.7098626911099601</v>
      </c>
      <c r="X38" s="3" t="s">
        <v>41</v>
      </c>
      <c r="Y38" s="3" t="s">
        <v>141</v>
      </c>
      <c r="Z38">
        <v>1.4854391598914954E-2</v>
      </c>
      <c r="AA38">
        <v>16</v>
      </c>
      <c r="AB38">
        <v>2527.7856711273198</v>
      </c>
    </row>
    <row r="39" spans="1:28" x14ac:dyDescent="0.35">
      <c r="A39" s="5" t="s">
        <v>28</v>
      </c>
      <c r="B39" s="8" t="s">
        <v>74</v>
      </c>
      <c r="C39" s="3">
        <v>23.3998447526143</v>
      </c>
      <c r="D39" s="3">
        <v>5</v>
      </c>
      <c r="E39" s="3">
        <v>963</v>
      </c>
      <c r="F39" s="3">
        <v>2438.3399304700201</v>
      </c>
      <c r="G39" s="3" t="s">
        <v>30</v>
      </c>
      <c r="H39" s="3">
        <v>25</v>
      </c>
      <c r="I39" s="3">
        <v>8</v>
      </c>
      <c r="J39" s="3">
        <v>21</v>
      </c>
      <c r="K39" s="3">
        <v>9</v>
      </c>
      <c r="L39" s="3" t="s">
        <v>137</v>
      </c>
      <c r="M39" s="3">
        <v>1.53265527359043</v>
      </c>
      <c r="N39" s="3" t="s">
        <v>155</v>
      </c>
      <c r="O39" s="3" t="s">
        <v>144</v>
      </c>
      <c r="P39" s="3">
        <v>23</v>
      </c>
      <c r="Q39" s="3">
        <v>517</v>
      </c>
      <c r="R39" s="3">
        <v>30</v>
      </c>
      <c r="S39" s="3">
        <v>33.616768953730002</v>
      </c>
      <c r="T39" s="3" t="s">
        <v>26</v>
      </c>
      <c r="U39" s="3">
        <f t="shared" si="0"/>
        <v>4674.4675094123177</v>
      </c>
      <c r="V39" s="3">
        <v>4.8540680263886998E-2</v>
      </c>
      <c r="W39" s="3">
        <v>4.8540680263886999</v>
      </c>
      <c r="X39" s="3" t="s">
        <v>27</v>
      </c>
      <c r="Y39" s="3" t="s">
        <v>141</v>
      </c>
      <c r="Z39">
        <v>6.5022763933713743E-2</v>
      </c>
      <c r="AA39">
        <v>32</v>
      </c>
      <c r="AB39">
        <v>2515.3278957483453</v>
      </c>
    </row>
    <row r="40" spans="1:28" x14ac:dyDescent="0.35">
      <c r="A40" s="5" t="s">
        <v>42</v>
      </c>
      <c r="B40" s="8" t="s">
        <v>75</v>
      </c>
      <c r="C40" s="3">
        <v>52.075930682707799</v>
      </c>
      <c r="D40" s="3">
        <v>75</v>
      </c>
      <c r="E40" s="3">
        <v>705</v>
      </c>
      <c r="F40" s="3">
        <v>9692.3180402184298</v>
      </c>
      <c r="G40" s="3" t="s">
        <v>25</v>
      </c>
      <c r="H40" s="3">
        <v>69</v>
      </c>
      <c r="I40" s="3">
        <v>1</v>
      </c>
      <c r="J40" s="3">
        <v>88</v>
      </c>
      <c r="K40" s="3">
        <v>5</v>
      </c>
      <c r="L40" s="3" t="s">
        <v>138</v>
      </c>
      <c r="M40" s="3">
        <v>9.2359314372492207</v>
      </c>
      <c r="N40" s="3" t="s">
        <v>157</v>
      </c>
      <c r="O40" s="3" t="s">
        <v>144</v>
      </c>
      <c r="P40" s="3">
        <v>9</v>
      </c>
      <c r="Q40" s="3">
        <v>109</v>
      </c>
      <c r="R40" s="3">
        <v>18</v>
      </c>
      <c r="S40" s="3">
        <v>23.126363582464698</v>
      </c>
      <c r="T40" s="3" t="s">
        <v>35</v>
      </c>
      <c r="U40" s="3">
        <f t="shared" si="0"/>
        <v>1197.169341203652</v>
      </c>
      <c r="V40" s="3">
        <v>1.6981125407143999E-2</v>
      </c>
      <c r="W40" s="3">
        <v>1.6981125407144</v>
      </c>
      <c r="X40" s="3" t="s">
        <v>36</v>
      </c>
      <c r="Y40" s="3" t="s">
        <v>141</v>
      </c>
      <c r="Z40">
        <v>0.21216847323362109</v>
      </c>
      <c r="AA40">
        <v>14</v>
      </c>
      <c r="AB40">
        <v>3843.2595697718498</v>
      </c>
    </row>
    <row r="41" spans="1:28" x14ac:dyDescent="0.35">
      <c r="A41" s="5" t="s">
        <v>28</v>
      </c>
      <c r="B41" s="8" t="s">
        <v>76</v>
      </c>
      <c r="C41" s="3">
        <v>19.127477265823199</v>
      </c>
      <c r="D41" s="3">
        <v>26</v>
      </c>
      <c r="E41" s="3">
        <v>176</v>
      </c>
      <c r="F41" s="3">
        <v>1912.4656631007599</v>
      </c>
      <c r="G41" s="3" t="s">
        <v>30</v>
      </c>
      <c r="H41" s="3">
        <v>78</v>
      </c>
      <c r="I41" s="3">
        <v>29</v>
      </c>
      <c r="J41" s="3">
        <v>34</v>
      </c>
      <c r="K41" s="3">
        <v>3</v>
      </c>
      <c r="L41" s="3" t="s">
        <v>137</v>
      </c>
      <c r="M41" s="3">
        <v>5.5625037788303802</v>
      </c>
      <c r="N41" s="3" t="s">
        <v>154</v>
      </c>
      <c r="O41" s="3" t="s">
        <v>144</v>
      </c>
      <c r="P41" s="3">
        <v>18</v>
      </c>
      <c r="Q41" s="3">
        <v>450</v>
      </c>
      <c r="R41" s="3">
        <v>26</v>
      </c>
      <c r="S41" s="3">
        <v>58.890685768589897</v>
      </c>
      <c r="T41" s="3" t="s">
        <v>26</v>
      </c>
      <c r="U41" s="3">
        <f t="shared" si="0"/>
        <v>213.11525480697057</v>
      </c>
      <c r="V41" s="3">
        <v>1.21088212958506E-2</v>
      </c>
      <c r="W41" s="3">
        <v>1.21088212958506</v>
      </c>
      <c r="X41" s="3" t="s">
        <v>33</v>
      </c>
      <c r="Y41" s="3" t="s">
        <v>140</v>
      </c>
      <c r="Z41">
        <v>0.13086819059686644</v>
      </c>
      <c r="AA41">
        <v>21</v>
      </c>
      <c r="AB41">
        <v>3894.3212068832349</v>
      </c>
    </row>
    <row r="42" spans="1:28" x14ac:dyDescent="0.35">
      <c r="A42" s="5" t="s">
        <v>28</v>
      </c>
      <c r="B42" s="8" t="s">
        <v>77</v>
      </c>
      <c r="C42" s="3">
        <v>80.541424170940303</v>
      </c>
      <c r="D42" s="3">
        <v>97</v>
      </c>
      <c r="E42" s="3">
        <v>933</v>
      </c>
      <c r="F42" s="3">
        <v>5724.9593504562599</v>
      </c>
      <c r="G42" s="3" t="s">
        <v>30</v>
      </c>
      <c r="H42" s="3">
        <v>90</v>
      </c>
      <c r="I42" s="3">
        <v>20</v>
      </c>
      <c r="J42" s="3">
        <v>39</v>
      </c>
      <c r="K42" s="3">
        <v>8</v>
      </c>
      <c r="L42" s="3" t="s">
        <v>139</v>
      </c>
      <c r="M42" s="3">
        <v>7.2295951397364702</v>
      </c>
      <c r="N42" s="3" t="s">
        <v>153</v>
      </c>
      <c r="O42" s="3" t="s">
        <v>146</v>
      </c>
      <c r="P42" s="3">
        <v>7</v>
      </c>
      <c r="Q42" s="3">
        <v>834</v>
      </c>
      <c r="R42" s="3">
        <v>18</v>
      </c>
      <c r="S42" s="3">
        <v>22.554106620887701</v>
      </c>
      <c r="T42" s="3" t="s">
        <v>35</v>
      </c>
      <c r="U42" s="3">
        <f t="shared" si="0"/>
        <v>2764.1303569844031</v>
      </c>
      <c r="V42" s="3">
        <v>2.9626263204548801E-2</v>
      </c>
      <c r="W42" s="3">
        <v>2.9626263204548802</v>
      </c>
      <c r="X42" s="3" t="s">
        <v>36</v>
      </c>
      <c r="Y42" s="3" t="s">
        <v>140</v>
      </c>
      <c r="Z42">
        <v>2.7043293310416907E-2</v>
      </c>
      <c r="AA42">
        <v>15</v>
      </c>
      <c r="AB42">
        <v>3052.2663480961346</v>
      </c>
    </row>
    <row r="43" spans="1:28" x14ac:dyDescent="0.35">
      <c r="A43" s="5" t="s">
        <v>28</v>
      </c>
      <c r="B43" s="8" t="s">
        <v>78</v>
      </c>
      <c r="C43" s="3">
        <v>99.113291615317095</v>
      </c>
      <c r="D43" s="3">
        <v>35</v>
      </c>
      <c r="E43" s="3">
        <v>556</v>
      </c>
      <c r="F43" s="3">
        <v>5521.2052590109697</v>
      </c>
      <c r="G43" s="3" t="s">
        <v>30</v>
      </c>
      <c r="H43" s="3">
        <v>64</v>
      </c>
      <c r="I43" s="3">
        <v>19</v>
      </c>
      <c r="J43" s="3">
        <v>38</v>
      </c>
      <c r="K43" s="3">
        <v>8</v>
      </c>
      <c r="L43" s="3" t="s">
        <v>138</v>
      </c>
      <c r="M43" s="3">
        <v>5.7732637437666501</v>
      </c>
      <c r="N43" s="3" t="s">
        <v>156</v>
      </c>
      <c r="O43" s="3" t="s">
        <v>145</v>
      </c>
      <c r="P43" s="3">
        <v>10</v>
      </c>
      <c r="Q43" s="3">
        <v>964</v>
      </c>
      <c r="R43" s="3">
        <v>20</v>
      </c>
      <c r="S43" s="3">
        <v>19.7129929112936</v>
      </c>
      <c r="T43" s="3" t="s">
        <v>26</v>
      </c>
      <c r="U43" s="3">
        <f t="shared" si="0"/>
        <v>211.59891421254642</v>
      </c>
      <c r="V43" s="3">
        <v>3.8057358671321302E-3</v>
      </c>
      <c r="W43" s="3">
        <v>0.38057358671321301</v>
      </c>
      <c r="X43" s="3" t="s">
        <v>36</v>
      </c>
      <c r="Y43" s="3" t="s">
        <v>140</v>
      </c>
      <c r="Z43">
        <v>2.0449162771051452E-2</v>
      </c>
      <c r="AA43">
        <v>18</v>
      </c>
      <c r="AB43">
        <v>2908.01177525293</v>
      </c>
    </row>
    <row r="44" spans="1:28" x14ac:dyDescent="0.35">
      <c r="A44" s="5" t="s">
        <v>28</v>
      </c>
      <c r="B44" s="8" t="s">
        <v>79</v>
      </c>
      <c r="C44" s="3">
        <v>46.529167614516702</v>
      </c>
      <c r="D44" s="3">
        <v>98</v>
      </c>
      <c r="E44" s="3">
        <v>155</v>
      </c>
      <c r="F44" s="3">
        <v>1839.60942585676</v>
      </c>
      <c r="G44" s="3" t="s">
        <v>30</v>
      </c>
      <c r="H44" s="3">
        <v>22</v>
      </c>
      <c r="I44" s="3">
        <v>27</v>
      </c>
      <c r="J44" s="3">
        <v>57</v>
      </c>
      <c r="K44" s="3">
        <v>4</v>
      </c>
      <c r="L44" s="3" t="s">
        <v>139</v>
      </c>
      <c r="M44" s="3">
        <v>7.5262483268515004</v>
      </c>
      <c r="N44" s="3" t="s">
        <v>157</v>
      </c>
      <c r="O44" s="3" t="s">
        <v>143</v>
      </c>
      <c r="P44" s="3">
        <v>19</v>
      </c>
      <c r="Q44" s="3">
        <v>791</v>
      </c>
      <c r="R44" s="3">
        <v>4</v>
      </c>
      <c r="S44" s="3">
        <v>61.735728954160898</v>
      </c>
      <c r="T44" s="3" t="s">
        <v>26</v>
      </c>
      <c r="U44" s="3">
        <f t="shared" si="0"/>
        <v>2.8841729828073093</v>
      </c>
      <c r="V44" s="3">
        <v>1.8607567631014898E-4</v>
      </c>
      <c r="W44" s="3">
        <v>1.8607567631014899E-2</v>
      </c>
      <c r="X44" s="3" t="s">
        <v>33</v>
      </c>
      <c r="Y44" s="3" t="s">
        <v>142</v>
      </c>
      <c r="Z44">
        <v>7.8047697792870921E-2</v>
      </c>
      <c r="AA44">
        <v>23</v>
      </c>
      <c r="AB44">
        <v>2616.8045736007898</v>
      </c>
    </row>
    <row r="45" spans="1:28" x14ac:dyDescent="0.35">
      <c r="A45" s="5" t="s">
        <v>23</v>
      </c>
      <c r="B45" s="8" t="s">
        <v>80</v>
      </c>
      <c r="C45" s="3">
        <v>11.7432717763092</v>
      </c>
      <c r="D45" s="3">
        <v>6</v>
      </c>
      <c r="E45" s="3">
        <v>598</v>
      </c>
      <c r="F45" s="3">
        <v>5737.4255991190203</v>
      </c>
      <c r="G45" s="3" t="s">
        <v>32</v>
      </c>
      <c r="H45" s="3">
        <v>36</v>
      </c>
      <c r="I45" s="3">
        <v>29</v>
      </c>
      <c r="J45" s="3">
        <v>85</v>
      </c>
      <c r="K45" s="3">
        <v>9</v>
      </c>
      <c r="L45" s="3" t="s">
        <v>138</v>
      </c>
      <c r="M45" s="3">
        <v>3.6940212683884499</v>
      </c>
      <c r="N45" s="3" t="s">
        <v>157</v>
      </c>
      <c r="O45" s="3" t="s">
        <v>147</v>
      </c>
      <c r="P45" s="3">
        <v>22</v>
      </c>
      <c r="Q45" s="3">
        <v>775</v>
      </c>
      <c r="R45" s="3">
        <v>16</v>
      </c>
      <c r="S45" s="3">
        <v>11.440781823761199</v>
      </c>
      <c r="T45" s="3" t="s">
        <v>47</v>
      </c>
      <c r="U45" s="3">
        <f t="shared" si="0"/>
        <v>1094.6842079701137</v>
      </c>
      <c r="V45" s="3">
        <v>1.8305755986122302E-2</v>
      </c>
      <c r="W45" s="3">
        <v>1.8305755986122301</v>
      </c>
      <c r="X45" s="3" t="s">
        <v>27</v>
      </c>
      <c r="Y45" s="3" t="s">
        <v>142</v>
      </c>
      <c r="Z45">
        <v>1.4762299127433806E-2</v>
      </c>
      <c r="AA45">
        <v>31</v>
      </c>
      <c r="AB45">
        <v>916.36449374355493</v>
      </c>
    </row>
    <row r="46" spans="1:28" x14ac:dyDescent="0.35">
      <c r="A46" s="5" t="s">
        <v>42</v>
      </c>
      <c r="B46" s="8" t="s">
        <v>81</v>
      </c>
      <c r="C46" s="3">
        <v>51.355790913110297</v>
      </c>
      <c r="D46" s="3">
        <v>34</v>
      </c>
      <c r="E46" s="3">
        <v>919</v>
      </c>
      <c r="F46" s="3">
        <v>7152.28604943551</v>
      </c>
      <c r="G46" s="3" t="s">
        <v>30</v>
      </c>
      <c r="H46" s="3">
        <v>13</v>
      </c>
      <c r="I46" s="3">
        <v>19</v>
      </c>
      <c r="J46" s="3">
        <v>72</v>
      </c>
      <c r="K46" s="3">
        <v>6</v>
      </c>
      <c r="L46" s="3" t="s">
        <v>139</v>
      </c>
      <c r="M46" s="3">
        <v>7.5774496573766896</v>
      </c>
      <c r="N46" s="3" t="s">
        <v>154</v>
      </c>
      <c r="O46" s="3" t="s">
        <v>145</v>
      </c>
      <c r="P46" s="3">
        <v>14</v>
      </c>
      <c r="Q46" s="3">
        <v>480</v>
      </c>
      <c r="R46" s="3">
        <v>12</v>
      </c>
      <c r="S46" s="3">
        <v>78.702393968878894</v>
      </c>
      <c r="T46" s="3" t="s">
        <v>35</v>
      </c>
      <c r="U46" s="3">
        <f t="shared" si="0"/>
        <v>4013.7054246104412</v>
      </c>
      <c r="V46" s="3">
        <v>4.3674705382050504E-2</v>
      </c>
      <c r="W46" s="3">
        <v>4.3674705382050503</v>
      </c>
      <c r="X46" s="3" t="s">
        <v>33</v>
      </c>
      <c r="Y46" s="3" t="s">
        <v>140</v>
      </c>
      <c r="Z46">
        <v>0.16396332076849771</v>
      </c>
      <c r="AA46">
        <v>20</v>
      </c>
      <c r="AB46">
        <v>821.83264121709499</v>
      </c>
    </row>
    <row r="47" spans="1:28" x14ac:dyDescent="0.35">
      <c r="A47" s="5" t="s">
        <v>23</v>
      </c>
      <c r="B47" s="8" t="s">
        <v>82</v>
      </c>
      <c r="C47" s="3">
        <v>33.784138033065503</v>
      </c>
      <c r="D47" s="3">
        <v>1</v>
      </c>
      <c r="E47" s="3">
        <v>24</v>
      </c>
      <c r="F47" s="3">
        <v>5267.9568075105199</v>
      </c>
      <c r="G47" s="3" t="s">
        <v>40</v>
      </c>
      <c r="H47" s="3">
        <v>93</v>
      </c>
      <c r="I47" s="3">
        <v>7</v>
      </c>
      <c r="J47" s="3">
        <v>52</v>
      </c>
      <c r="K47" s="3">
        <v>6</v>
      </c>
      <c r="L47" s="3" t="s">
        <v>138</v>
      </c>
      <c r="M47" s="3">
        <v>5.2151550087119096</v>
      </c>
      <c r="N47" s="3" t="s">
        <v>154</v>
      </c>
      <c r="O47" s="3" t="s">
        <v>146</v>
      </c>
      <c r="P47" s="3">
        <v>3</v>
      </c>
      <c r="Q47" s="3">
        <v>367</v>
      </c>
      <c r="R47" s="3">
        <v>2</v>
      </c>
      <c r="S47" s="3">
        <v>58.004787044743701</v>
      </c>
      <c r="T47" s="3" t="s">
        <v>47</v>
      </c>
      <c r="U47" s="3">
        <f t="shared" si="0"/>
        <v>12.987698353453943</v>
      </c>
      <c r="V47" s="3">
        <v>5.4115409806058104E-3</v>
      </c>
      <c r="W47" s="3">
        <v>0.54115409806058101</v>
      </c>
      <c r="X47" s="3" t="s">
        <v>41</v>
      </c>
      <c r="Y47" s="3" t="s">
        <v>142</v>
      </c>
      <c r="Z47">
        <v>0.15805119085761227</v>
      </c>
      <c r="AA47">
        <v>9</v>
      </c>
      <c r="AB47">
        <v>2767.102356151775</v>
      </c>
    </row>
    <row r="48" spans="1:28" x14ac:dyDescent="0.35">
      <c r="A48" s="5" t="s">
        <v>23</v>
      </c>
      <c r="B48" s="8" t="s">
        <v>83</v>
      </c>
      <c r="C48" s="3">
        <v>27.082207199888899</v>
      </c>
      <c r="D48" s="3">
        <v>75</v>
      </c>
      <c r="E48" s="3">
        <v>859</v>
      </c>
      <c r="F48" s="3">
        <v>2556.7673606335902</v>
      </c>
      <c r="G48" s="3" t="s">
        <v>25</v>
      </c>
      <c r="H48" s="3">
        <v>92</v>
      </c>
      <c r="I48" s="3">
        <v>29</v>
      </c>
      <c r="J48" s="3">
        <v>6</v>
      </c>
      <c r="K48" s="3">
        <v>8</v>
      </c>
      <c r="L48" s="3" t="s">
        <v>138</v>
      </c>
      <c r="M48" s="3">
        <v>4.0709558370840799</v>
      </c>
      <c r="N48" s="3" t="s">
        <v>155</v>
      </c>
      <c r="O48" s="3" t="s">
        <v>147</v>
      </c>
      <c r="P48" s="3">
        <v>3</v>
      </c>
      <c r="Q48" s="3">
        <v>399</v>
      </c>
      <c r="R48" s="3">
        <v>21</v>
      </c>
      <c r="S48" s="3">
        <v>77.106342497849994</v>
      </c>
      <c r="T48" s="3" t="s">
        <v>47</v>
      </c>
      <c r="U48" s="3">
        <f t="shared" si="0"/>
        <v>869.79169367265627</v>
      </c>
      <c r="V48" s="3">
        <v>1.01256308925804E-2</v>
      </c>
      <c r="W48" s="3">
        <v>1.01256308925804</v>
      </c>
      <c r="X48" s="3" t="s">
        <v>33</v>
      </c>
      <c r="Y48" s="3" t="s">
        <v>140</v>
      </c>
      <c r="Z48">
        <v>0.19324897869135338</v>
      </c>
      <c r="AA48">
        <v>11</v>
      </c>
      <c r="AB48">
        <v>4327.6288988562001</v>
      </c>
    </row>
    <row r="49" spans="1:28" x14ac:dyDescent="0.35">
      <c r="A49" s="5" t="s">
        <v>28</v>
      </c>
      <c r="B49" s="8" t="s">
        <v>84</v>
      </c>
      <c r="C49" s="3">
        <v>95.712135880936003</v>
      </c>
      <c r="D49" s="3">
        <v>93</v>
      </c>
      <c r="E49" s="3">
        <v>910</v>
      </c>
      <c r="F49" s="3">
        <v>7089.4742499341801</v>
      </c>
      <c r="G49" s="3" t="s">
        <v>40</v>
      </c>
      <c r="H49" s="3">
        <v>4</v>
      </c>
      <c r="I49" s="3">
        <v>15</v>
      </c>
      <c r="J49" s="3">
        <v>51</v>
      </c>
      <c r="K49" s="3">
        <v>9</v>
      </c>
      <c r="L49" s="3" t="s">
        <v>138</v>
      </c>
      <c r="M49" s="3">
        <v>8.9787507559499709</v>
      </c>
      <c r="N49" s="3" t="s">
        <v>153</v>
      </c>
      <c r="O49" s="3" t="s">
        <v>145</v>
      </c>
      <c r="P49" s="3">
        <v>28</v>
      </c>
      <c r="Q49" s="3">
        <v>362</v>
      </c>
      <c r="R49" s="3">
        <v>11</v>
      </c>
      <c r="S49" s="3">
        <v>27.5923630866636</v>
      </c>
      <c r="T49" s="3" t="s">
        <v>26</v>
      </c>
      <c r="U49" s="3">
        <f t="shared" si="0"/>
        <v>19.264537449424814</v>
      </c>
      <c r="V49" s="3">
        <v>2.11698213729943E-4</v>
      </c>
      <c r="W49" s="3">
        <v>2.1169821372994301E-2</v>
      </c>
      <c r="X49" s="3" t="s">
        <v>33</v>
      </c>
      <c r="Y49" s="3" t="s">
        <v>140</v>
      </c>
      <c r="Z49">
        <v>7.6221997476971268E-2</v>
      </c>
      <c r="AA49">
        <v>37</v>
      </c>
      <c r="AB49">
        <v>633.61516704703502</v>
      </c>
    </row>
    <row r="50" spans="1:28" x14ac:dyDescent="0.35">
      <c r="A50" s="5" t="s">
        <v>23</v>
      </c>
      <c r="B50" s="8" t="s">
        <v>85</v>
      </c>
      <c r="C50" s="3">
        <v>76.035544426891704</v>
      </c>
      <c r="D50" s="3">
        <v>28</v>
      </c>
      <c r="E50" s="3">
        <v>29</v>
      </c>
      <c r="F50" s="3">
        <v>7397.0710045871801</v>
      </c>
      <c r="G50" s="3" t="s">
        <v>25</v>
      </c>
      <c r="H50" s="3">
        <v>30</v>
      </c>
      <c r="I50" s="3">
        <v>16</v>
      </c>
      <c r="J50" s="3">
        <v>9</v>
      </c>
      <c r="K50" s="3">
        <v>3</v>
      </c>
      <c r="L50" s="3" t="s">
        <v>139</v>
      </c>
      <c r="M50" s="3">
        <v>7.0958331565551296</v>
      </c>
      <c r="N50" s="3" t="s">
        <v>154</v>
      </c>
      <c r="O50" s="3" t="s">
        <v>145</v>
      </c>
      <c r="P50" s="3">
        <v>26</v>
      </c>
      <c r="Q50" s="3">
        <v>497</v>
      </c>
      <c r="R50" s="3">
        <v>29</v>
      </c>
      <c r="S50" s="3">
        <v>30.186023375822501</v>
      </c>
      <c r="T50" s="3" t="s">
        <v>47</v>
      </c>
      <c r="U50" s="3">
        <f t="shared" si="0"/>
        <v>71.884387290652469</v>
      </c>
      <c r="V50" s="3">
        <v>2.4787719755397401E-2</v>
      </c>
      <c r="W50" s="3">
        <v>2.4787719755397402</v>
      </c>
      <c r="X50" s="3" t="s">
        <v>27</v>
      </c>
      <c r="Y50" s="3" t="s">
        <v>141</v>
      </c>
      <c r="Z50">
        <v>6.0736465544914485E-2</v>
      </c>
      <c r="AA50">
        <v>29</v>
      </c>
      <c r="AB50">
        <v>4070.3499829109346</v>
      </c>
    </row>
    <row r="51" spans="1:28" x14ac:dyDescent="0.35">
      <c r="A51" s="5" t="s">
        <v>42</v>
      </c>
      <c r="B51" s="8" t="s">
        <v>86</v>
      </c>
      <c r="C51" s="3">
        <v>78.897913205639995</v>
      </c>
      <c r="D51" s="3">
        <v>19</v>
      </c>
      <c r="E51" s="3">
        <v>99</v>
      </c>
      <c r="F51" s="3">
        <v>8001.6132065190004</v>
      </c>
      <c r="G51" s="3" t="s">
        <v>32</v>
      </c>
      <c r="H51" s="3">
        <v>97</v>
      </c>
      <c r="I51" s="3">
        <v>24</v>
      </c>
      <c r="J51" s="3">
        <v>9</v>
      </c>
      <c r="K51" s="3">
        <v>6</v>
      </c>
      <c r="L51" s="3" t="s">
        <v>139</v>
      </c>
      <c r="M51" s="3">
        <v>2.5056210329009101</v>
      </c>
      <c r="N51" s="3" t="s">
        <v>157</v>
      </c>
      <c r="O51" s="3" t="s">
        <v>144</v>
      </c>
      <c r="P51" s="3">
        <v>13</v>
      </c>
      <c r="Q51" s="3">
        <v>171</v>
      </c>
      <c r="R51" s="3">
        <v>7</v>
      </c>
      <c r="S51" s="3">
        <v>59.429381810691503</v>
      </c>
      <c r="T51" s="3" t="s">
        <v>35</v>
      </c>
      <c r="U51" s="3">
        <f t="shared" si="0"/>
        <v>80.759950850271522</v>
      </c>
      <c r="V51" s="3">
        <v>8.1575707929567205E-3</v>
      </c>
      <c r="W51" s="3">
        <v>0.81575707929567198</v>
      </c>
      <c r="X51" s="3" t="s">
        <v>33</v>
      </c>
      <c r="Y51" s="3" t="s">
        <v>140</v>
      </c>
      <c r="Z51">
        <v>0.34754024450696785</v>
      </c>
      <c r="AA51">
        <v>19</v>
      </c>
      <c r="AB51">
        <v>617.185137559135</v>
      </c>
    </row>
    <row r="52" spans="1:28" x14ac:dyDescent="0.35">
      <c r="A52" s="5" t="s">
        <v>42</v>
      </c>
      <c r="B52" s="8" t="s">
        <v>87</v>
      </c>
      <c r="C52" s="3">
        <v>14.203484264803</v>
      </c>
      <c r="D52" s="3">
        <v>91</v>
      </c>
      <c r="E52" s="3">
        <v>633</v>
      </c>
      <c r="F52" s="3">
        <v>5910.8853896688897</v>
      </c>
      <c r="G52" s="3" t="s">
        <v>30</v>
      </c>
      <c r="H52" s="3">
        <v>31</v>
      </c>
      <c r="I52" s="3">
        <v>23</v>
      </c>
      <c r="J52" s="3">
        <v>82</v>
      </c>
      <c r="K52" s="3">
        <v>10</v>
      </c>
      <c r="L52" s="3" t="s">
        <v>137</v>
      </c>
      <c r="M52" s="3">
        <v>6.2478609149759903</v>
      </c>
      <c r="N52" s="3" t="s">
        <v>154</v>
      </c>
      <c r="O52" s="3" t="s">
        <v>145</v>
      </c>
      <c r="P52" s="3">
        <v>23</v>
      </c>
      <c r="Q52" s="3">
        <v>370</v>
      </c>
      <c r="R52" s="3">
        <v>11</v>
      </c>
      <c r="S52" s="3">
        <v>46.603873381644398</v>
      </c>
      <c r="T52" s="3" t="s">
        <v>26</v>
      </c>
      <c r="U52" s="3">
        <f t="shared" si="0"/>
        <v>1207.5524095960914</v>
      </c>
      <c r="V52" s="3">
        <v>1.90766573395907E-2</v>
      </c>
      <c r="W52" s="3">
        <v>1.9076657339590699</v>
      </c>
      <c r="X52" s="3" t="s">
        <v>36</v>
      </c>
      <c r="Y52" s="3" t="s">
        <v>141</v>
      </c>
      <c r="Z52">
        <v>0.12595641454498485</v>
      </c>
      <c r="AA52">
        <v>33</v>
      </c>
      <c r="AB52">
        <v>2587.4998696453004</v>
      </c>
    </row>
    <row r="53" spans="1:28" x14ac:dyDescent="0.35">
      <c r="A53" s="5" t="s">
        <v>23</v>
      </c>
      <c r="B53" s="8" t="s">
        <v>88</v>
      </c>
      <c r="C53" s="3">
        <v>26.700760972461701</v>
      </c>
      <c r="D53" s="3">
        <v>61</v>
      </c>
      <c r="E53" s="3">
        <v>154</v>
      </c>
      <c r="F53" s="3">
        <v>9866.4654579796897</v>
      </c>
      <c r="G53" s="3" t="s">
        <v>40</v>
      </c>
      <c r="H53" s="3">
        <v>100</v>
      </c>
      <c r="I53" s="3">
        <v>4</v>
      </c>
      <c r="J53" s="3">
        <v>52</v>
      </c>
      <c r="K53" s="3">
        <v>1</v>
      </c>
      <c r="L53" s="3" t="s">
        <v>137</v>
      </c>
      <c r="M53" s="3">
        <v>4.78300055794766</v>
      </c>
      <c r="N53" s="3" t="s">
        <v>157</v>
      </c>
      <c r="O53" s="3" t="s">
        <v>146</v>
      </c>
      <c r="P53" s="3">
        <v>20</v>
      </c>
      <c r="Q53" s="3">
        <v>306</v>
      </c>
      <c r="R53" s="3">
        <v>21</v>
      </c>
      <c r="S53" s="3">
        <v>45.178757924634503</v>
      </c>
      <c r="T53" s="3" t="s">
        <v>35</v>
      </c>
      <c r="U53" s="3">
        <f t="shared" si="0"/>
        <v>732.23932391936171</v>
      </c>
      <c r="V53" s="3">
        <v>4.7548008046711797E-2</v>
      </c>
      <c r="W53" s="3">
        <v>4.7548008046711798</v>
      </c>
      <c r="X53" s="3" t="s">
        <v>36</v>
      </c>
      <c r="Y53" s="3" t="s">
        <v>141</v>
      </c>
      <c r="Z53">
        <v>0.14764299975370754</v>
      </c>
      <c r="AA53">
        <v>21</v>
      </c>
      <c r="AB53">
        <v>2481.2432514596999</v>
      </c>
    </row>
    <row r="54" spans="1:28" x14ac:dyDescent="0.35">
      <c r="A54" s="5" t="s">
        <v>28</v>
      </c>
      <c r="B54" s="8" t="s">
        <v>89</v>
      </c>
      <c r="C54" s="3">
        <v>98.031829656465007</v>
      </c>
      <c r="D54" s="3">
        <v>1</v>
      </c>
      <c r="E54" s="3">
        <v>820</v>
      </c>
      <c r="F54" s="3">
        <v>9435.7626089121295</v>
      </c>
      <c r="G54" s="3" t="s">
        <v>40</v>
      </c>
      <c r="H54" s="3">
        <v>64</v>
      </c>
      <c r="I54" s="3">
        <v>11</v>
      </c>
      <c r="J54" s="3">
        <v>11</v>
      </c>
      <c r="K54" s="3">
        <v>1</v>
      </c>
      <c r="L54" s="3" t="s">
        <v>138</v>
      </c>
      <c r="M54" s="3">
        <v>8.6310521797689397</v>
      </c>
      <c r="N54" s="3" t="s">
        <v>153</v>
      </c>
      <c r="O54" s="3" t="s">
        <v>144</v>
      </c>
      <c r="P54" s="3">
        <v>1</v>
      </c>
      <c r="Q54" s="3">
        <v>206</v>
      </c>
      <c r="R54" s="3">
        <v>23</v>
      </c>
      <c r="S54" s="3">
        <v>26.2773659573324</v>
      </c>
      <c r="T54" s="3" t="s">
        <v>26</v>
      </c>
      <c r="U54" s="3">
        <f t="shared" si="0"/>
        <v>305.28990974777952</v>
      </c>
      <c r="V54" s="3">
        <v>3.72304767985097E-3</v>
      </c>
      <c r="W54" s="3">
        <v>0.37230476798509698</v>
      </c>
      <c r="X54" s="3" t="s">
        <v>33</v>
      </c>
      <c r="Y54" s="3" t="s">
        <v>140</v>
      </c>
      <c r="Z54">
        <v>0.12756002891908932</v>
      </c>
      <c r="AA54">
        <v>2</v>
      </c>
      <c r="AB54">
        <v>3580.2205987967</v>
      </c>
    </row>
    <row r="55" spans="1:28" x14ac:dyDescent="0.35">
      <c r="A55" s="5" t="s">
        <v>28</v>
      </c>
      <c r="B55" s="8" t="s">
        <v>90</v>
      </c>
      <c r="C55" s="3">
        <v>30.3414707112142</v>
      </c>
      <c r="D55" s="3">
        <v>93</v>
      </c>
      <c r="E55" s="3">
        <v>242</v>
      </c>
      <c r="F55" s="3">
        <v>8232.3348294258194</v>
      </c>
      <c r="G55" s="3" t="s">
        <v>40</v>
      </c>
      <c r="H55" s="3">
        <v>96</v>
      </c>
      <c r="I55" s="3">
        <v>25</v>
      </c>
      <c r="J55" s="3">
        <v>54</v>
      </c>
      <c r="K55" s="3">
        <v>3</v>
      </c>
      <c r="L55" s="3" t="s">
        <v>138</v>
      </c>
      <c r="M55" s="3">
        <v>1.0134865660958901</v>
      </c>
      <c r="N55" s="3" t="s">
        <v>153</v>
      </c>
      <c r="O55" s="3" t="s">
        <v>145</v>
      </c>
      <c r="P55" s="3">
        <v>18</v>
      </c>
      <c r="Q55" s="3">
        <v>793</v>
      </c>
      <c r="R55" s="3">
        <v>1</v>
      </c>
      <c r="S55" s="3">
        <v>88.179407104217404</v>
      </c>
      <c r="T55" s="3" t="s">
        <v>26</v>
      </c>
      <c r="U55" s="3">
        <f t="shared" si="0"/>
        <v>1019.6112022019474</v>
      </c>
      <c r="V55" s="3">
        <v>4.2132694305865595E-2</v>
      </c>
      <c r="W55" s="3">
        <v>4.2132694305865597</v>
      </c>
      <c r="X55" s="3" t="s">
        <v>27</v>
      </c>
      <c r="Y55" s="3" t="s">
        <v>140</v>
      </c>
      <c r="Z55">
        <v>0.11119723468375461</v>
      </c>
      <c r="AA55">
        <v>21</v>
      </c>
      <c r="AB55">
        <v>2649.0436199034548</v>
      </c>
    </row>
    <row r="56" spans="1:28" x14ac:dyDescent="0.35">
      <c r="A56" s="5" t="s">
        <v>23</v>
      </c>
      <c r="B56" s="8" t="s">
        <v>91</v>
      </c>
      <c r="C56" s="3">
        <v>31.1462431602408</v>
      </c>
      <c r="D56" s="3">
        <v>11</v>
      </c>
      <c r="E56" s="3">
        <v>622</v>
      </c>
      <c r="F56" s="3">
        <v>6088.0214799408504</v>
      </c>
      <c r="G56" s="3" t="s">
        <v>25</v>
      </c>
      <c r="H56" s="3">
        <v>33</v>
      </c>
      <c r="I56" s="3">
        <v>22</v>
      </c>
      <c r="J56" s="3">
        <v>61</v>
      </c>
      <c r="K56" s="3">
        <v>3</v>
      </c>
      <c r="L56" s="3" t="s">
        <v>138</v>
      </c>
      <c r="M56" s="3">
        <v>4.3051034712876302</v>
      </c>
      <c r="N56" s="3" t="s">
        <v>153</v>
      </c>
      <c r="O56" s="3" t="s">
        <v>146</v>
      </c>
      <c r="P56" s="3">
        <v>1</v>
      </c>
      <c r="Q56" s="3">
        <v>919</v>
      </c>
      <c r="R56" s="3">
        <v>9</v>
      </c>
      <c r="S56" s="3">
        <v>80.580852156447804</v>
      </c>
      <c r="T56" s="3" t="s">
        <v>35</v>
      </c>
      <c r="U56" s="3">
        <f t="shared" si="0"/>
        <v>246.69311439637954</v>
      </c>
      <c r="V56" s="3">
        <v>3.9661272410993495E-3</v>
      </c>
      <c r="W56" s="3">
        <v>0.39661272410993498</v>
      </c>
      <c r="X56" s="3" t="s">
        <v>36</v>
      </c>
      <c r="Y56" s="3" t="s">
        <v>140</v>
      </c>
      <c r="Z56">
        <v>8.7683190594611327E-2</v>
      </c>
      <c r="AA56">
        <v>4</v>
      </c>
      <c r="AB56">
        <v>1707.7632839161149</v>
      </c>
    </row>
    <row r="57" spans="1:28" x14ac:dyDescent="0.35">
      <c r="A57" s="5" t="s">
        <v>23</v>
      </c>
      <c r="B57" s="8" t="s">
        <v>92</v>
      </c>
      <c r="C57" s="3">
        <v>79.855058340789398</v>
      </c>
      <c r="D57" s="3">
        <v>16</v>
      </c>
      <c r="E57" s="3">
        <v>701</v>
      </c>
      <c r="F57" s="3">
        <v>2925.6751703038099</v>
      </c>
      <c r="G57" s="3" t="s">
        <v>40</v>
      </c>
      <c r="H57" s="3">
        <v>97</v>
      </c>
      <c r="I57" s="3">
        <v>11</v>
      </c>
      <c r="J57" s="3">
        <v>11</v>
      </c>
      <c r="K57" s="3">
        <v>5</v>
      </c>
      <c r="L57" s="3" t="s">
        <v>137</v>
      </c>
      <c r="M57" s="3">
        <v>5.0143649550309002</v>
      </c>
      <c r="N57" s="3" t="s">
        <v>154</v>
      </c>
      <c r="O57" s="3" t="s">
        <v>143</v>
      </c>
      <c r="P57" s="3">
        <v>18</v>
      </c>
      <c r="Q57" s="3">
        <v>892</v>
      </c>
      <c r="R57" s="3">
        <v>7</v>
      </c>
      <c r="S57" s="3">
        <v>95.332064548772493</v>
      </c>
      <c r="T57" s="3" t="s">
        <v>35</v>
      </c>
      <c r="U57" s="3">
        <f t="shared" si="0"/>
        <v>31.756885941179981</v>
      </c>
      <c r="V57" s="3">
        <v>4.5302262398259604E-4</v>
      </c>
      <c r="W57" s="3">
        <v>4.5302262398259602E-2</v>
      </c>
      <c r="X57" s="3" t="s">
        <v>41</v>
      </c>
      <c r="Y57" s="3" t="s">
        <v>140</v>
      </c>
      <c r="Z57">
        <v>0.10687451182597812</v>
      </c>
      <c r="AA57">
        <v>23</v>
      </c>
      <c r="AB57">
        <v>1377.621855656545</v>
      </c>
    </row>
    <row r="58" spans="1:28" x14ac:dyDescent="0.35">
      <c r="A58" s="5" t="s">
        <v>28</v>
      </c>
      <c r="B58" s="8" t="s">
        <v>93</v>
      </c>
      <c r="C58" s="3">
        <v>20.9863860370433</v>
      </c>
      <c r="D58" s="3">
        <v>90</v>
      </c>
      <c r="E58" s="3">
        <v>93</v>
      </c>
      <c r="F58" s="3">
        <v>4767.0204843441297</v>
      </c>
      <c r="G58" s="3" t="s">
        <v>25</v>
      </c>
      <c r="H58" s="3">
        <v>25</v>
      </c>
      <c r="I58" s="3">
        <v>23</v>
      </c>
      <c r="J58" s="3">
        <v>83</v>
      </c>
      <c r="K58" s="3">
        <v>5</v>
      </c>
      <c r="L58" s="3" t="s">
        <v>139</v>
      </c>
      <c r="M58" s="3">
        <v>1.77442971407173</v>
      </c>
      <c r="N58" s="3" t="s">
        <v>153</v>
      </c>
      <c r="O58" s="3" t="s">
        <v>147</v>
      </c>
      <c r="P58" s="3">
        <v>14</v>
      </c>
      <c r="Q58" s="3">
        <v>580</v>
      </c>
      <c r="R58" s="3">
        <v>7</v>
      </c>
      <c r="S58" s="3">
        <v>97.121281751474299</v>
      </c>
      <c r="T58" s="3" t="s">
        <v>47</v>
      </c>
      <c r="U58" s="3">
        <f t="shared" si="0"/>
        <v>210.58973579146425</v>
      </c>
      <c r="V58" s="3">
        <v>2.2644057611985402E-2</v>
      </c>
      <c r="W58" s="3">
        <v>2.2644057611985402</v>
      </c>
      <c r="X58" s="3" t="s">
        <v>41</v>
      </c>
      <c r="Y58" s="3" t="s">
        <v>141</v>
      </c>
      <c r="Z58">
        <v>0.16745048577840396</v>
      </c>
      <c r="AA58">
        <v>19</v>
      </c>
      <c r="AB58">
        <v>639.30900000812494</v>
      </c>
    </row>
    <row r="59" spans="1:28" x14ac:dyDescent="0.35">
      <c r="A59" s="5" t="s">
        <v>23</v>
      </c>
      <c r="B59" s="8" t="s">
        <v>94</v>
      </c>
      <c r="C59" s="3">
        <v>49.263205350734097</v>
      </c>
      <c r="D59" s="3">
        <v>65</v>
      </c>
      <c r="E59" s="3">
        <v>227</v>
      </c>
      <c r="F59" s="3">
        <v>1605.8669003924001</v>
      </c>
      <c r="G59" s="3" t="s">
        <v>32</v>
      </c>
      <c r="H59" s="3">
        <v>5</v>
      </c>
      <c r="I59" s="3">
        <v>18</v>
      </c>
      <c r="J59" s="3">
        <v>51</v>
      </c>
      <c r="K59" s="3">
        <v>1</v>
      </c>
      <c r="L59" s="3" t="s">
        <v>138</v>
      </c>
      <c r="M59" s="3">
        <v>9.1605585353818704</v>
      </c>
      <c r="N59" s="3" t="s">
        <v>154</v>
      </c>
      <c r="O59" s="3" t="s">
        <v>147</v>
      </c>
      <c r="P59" s="3">
        <v>25</v>
      </c>
      <c r="Q59" s="3">
        <v>985</v>
      </c>
      <c r="R59" s="3">
        <v>24</v>
      </c>
      <c r="S59" s="3">
        <v>64.323597795600193</v>
      </c>
      <c r="T59" s="3" t="s">
        <v>26</v>
      </c>
      <c r="U59" s="3">
        <f t="shared" si="0"/>
        <v>494.86850150916166</v>
      </c>
      <c r="V59" s="3">
        <v>2.1800374515822098E-2</v>
      </c>
      <c r="W59" s="3">
        <v>2.1800374515822099</v>
      </c>
      <c r="X59" s="3" t="s">
        <v>36</v>
      </c>
      <c r="Y59" s="3" t="s">
        <v>140</v>
      </c>
      <c r="Z59">
        <v>6.530314497015248E-2</v>
      </c>
      <c r="AA59">
        <v>26</v>
      </c>
      <c r="AB59">
        <v>4987.0672506659703</v>
      </c>
    </row>
    <row r="60" spans="1:28" x14ac:dyDescent="0.35">
      <c r="A60" s="5" t="s">
        <v>28</v>
      </c>
      <c r="B60" s="8" t="s">
        <v>95</v>
      </c>
      <c r="C60" s="3">
        <v>59.841561377289302</v>
      </c>
      <c r="D60" s="3">
        <v>81</v>
      </c>
      <c r="E60" s="3">
        <v>896</v>
      </c>
      <c r="F60" s="3">
        <v>2021.1498103371</v>
      </c>
      <c r="G60" s="3" t="s">
        <v>25</v>
      </c>
      <c r="H60" s="3">
        <v>10</v>
      </c>
      <c r="I60" s="3">
        <v>5</v>
      </c>
      <c r="J60" s="3">
        <v>44</v>
      </c>
      <c r="K60" s="3">
        <v>7</v>
      </c>
      <c r="L60" s="3" t="s">
        <v>137</v>
      </c>
      <c r="M60" s="3">
        <v>4.9384385647120901</v>
      </c>
      <c r="N60" s="3" t="s">
        <v>155</v>
      </c>
      <c r="O60" s="3" t="s">
        <v>143</v>
      </c>
      <c r="P60" s="3">
        <v>25</v>
      </c>
      <c r="Q60" s="3">
        <v>794</v>
      </c>
      <c r="R60" s="3">
        <v>25</v>
      </c>
      <c r="S60" s="3">
        <v>66.312544439991598</v>
      </c>
      <c r="T60" s="3" t="s">
        <v>47</v>
      </c>
      <c r="U60" s="3">
        <f t="shared" si="0"/>
        <v>2884.7657324273537</v>
      </c>
      <c r="V60" s="3">
        <v>3.2196046120841003E-2</v>
      </c>
      <c r="W60" s="3">
        <v>3.2196046120841002</v>
      </c>
      <c r="X60" s="3" t="s">
        <v>36</v>
      </c>
      <c r="Y60" s="3" t="s">
        <v>140</v>
      </c>
      <c r="Z60">
        <v>8.35170584886544E-2</v>
      </c>
      <c r="AA60">
        <v>32</v>
      </c>
      <c r="AB60">
        <v>2476.5284851423648</v>
      </c>
    </row>
    <row r="61" spans="1:28" x14ac:dyDescent="0.35">
      <c r="A61" s="5" t="s">
        <v>42</v>
      </c>
      <c r="B61" s="8" t="s">
        <v>96</v>
      </c>
      <c r="C61" s="3">
        <v>63.828398347710902</v>
      </c>
      <c r="D61" s="3">
        <v>30</v>
      </c>
      <c r="E61" s="3">
        <v>484</v>
      </c>
      <c r="F61" s="3">
        <v>1061.6185230132801</v>
      </c>
      <c r="G61" s="3" t="s">
        <v>25</v>
      </c>
      <c r="H61" s="3">
        <v>100</v>
      </c>
      <c r="I61" s="3">
        <v>16</v>
      </c>
      <c r="J61" s="3">
        <v>26</v>
      </c>
      <c r="K61" s="3">
        <v>7</v>
      </c>
      <c r="L61" s="3" t="s">
        <v>138</v>
      </c>
      <c r="M61" s="3">
        <v>7.2937225968677204</v>
      </c>
      <c r="N61" s="3" t="s">
        <v>153</v>
      </c>
      <c r="O61" s="3" t="s">
        <v>143</v>
      </c>
      <c r="P61" s="3">
        <v>1</v>
      </c>
      <c r="Q61" s="3">
        <v>251</v>
      </c>
      <c r="R61" s="3">
        <v>23</v>
      </c>
      <c r="S61" s="3">
        <v>23.853427512896101</v>
      </c>
      <c r="T61" s="3" t="s">
        <v>35</v>
      </c>
      <c r="U61" s="3">
        <f t="shared" si="0"/>
        <v>1713.8662699294453</v>
      </c>
      <c r="V61" s="3">
        <v>3.5410460122509202E-2</v>
      </c>
      <c r="W61" s="3">
        <v>3.54104601225092</v>
      </c>
      <c r="X61" s="3" t="s">
        <v>41</v>
      </c>
      <c r="Y61" s="3" t="s">
        <v>140</v>
      </c>
      <c r="Z61">
        <v>9.5033575748590046E-2</v>
      </c>
      <c r="AA61">
        <v>8</v>
      </c>
      <c r="AB61">
        <v>1856.2764775993551</v>
      </c>
    </row>
    <row r="62" spans="1:28" x14ac:dyDescent="0.35">
      <c r="A62" s="5" t="s">
        <v>28</v>
      </c>
      <c r="B62" s="8" t="s">
        <v>97</v>
      </c>
      <c r="C62" s="3">
        <v>17.028027920188698</v>
      </c>
      <c r="D62" s="3">
        <v>16</v>
      </c>
      <c r="E62" s="3">
        <v>380</v>
      </c>
      <c r="F62" s="3">
        <v>8864.0843495864301</v>
      </c>
      <c r="G62" s="3" t="s">
        <v>30</v>
      </c>
      <c r="H62" s="3">
        <v>41</v>
      </c>
      <c r="I62" s="3">
        <v>27</v>
      </c>
      <c r="J62" s="3">
        <v>72</v>
      </c>
      <c r="K62" s="3">
        <v>8</v>
      </c>
      <c r="L62" s="3" t="s">
        <v>139</v>
      </c>
      <c r="M62" s="3">
        <v>4.3813681581023101</v>
      </c>
      <c r="N62" s="3" t="s">
        <v>156</v>
      </c>
      <c r="O62" s="3" t="s">
        <v>143</v>
      </c>
      <c r="P62" s="3">
        <v>27</v>
      </c>
      <c r="Q62" s="3">
        <v>523</v>
      </c>
      <c r="R62" s="3">
        <v>17</v>
      </c>
      <c r="S62" s="3">
        <v>28.696996824143099</v>
      </c>
      <c r="T62" s="3" t="s">
        <v>35</v>
      </c>
      <c r="U62" s="3">
        <f t="shared" si="0"/>
        <v>1403.6203593789226</v>
      </c>
      <c r="V62" s="3">
        <v>3.6937377878392699E-2</v>
      </c>
      <c r="W62" s="3">
        <v>3.6937377878392699</v>
      </c>
      <c r="X62" s="3" t="s">
        <v>41</v>
      </c>
      <c r="Y62" s="3" t="s">
        <v>141</v>
      </c>
      <c r="Z62">
        <v>5.4869974807156975E-2</v>
      </c>
      <c r="AA62">
        <v>35</v>
      </c>
      <c r="AB62">
        <v>4396.7960886746196</v>
      </c>
    </row>
    <row r="63" spans="1:28" x14ac:dyDescent="0.35">
      <c r="A63" s="5" t="s">
        <v>23</v>
      </c>
      <c r="B63" s="8" t="s">
        <v>98</v>
      </c>
      <c r="C63" s="3">
        <v>52.028749903294901</v>
      </c>
      <c r="D63" s="3">
        <v>23</v>
      </c>
      <c r="E63" s="3">
        <v>117</v>
      </c>
      <c r="F63" s="3">
        <v>6885.5893508962499</v>
      </c>
      <c r="G63" s="3" t="s">
        <v>32</v>
      </c>
      <c r="H63" s="3">
        <v>32</v>
      </c>
      <c r="I63" s="3">
        <v>23</v>
      </c>
      <c r="J63" s="3">
        <v>36</v>
      </c>
      <c r="K63" s="3">
        <v>7</v>
      </c>
      <c r="L63" s="3" t="s">
        <v>139</v>
      </c>
      <c r="M63" s="3">
        <v>9.0303404225219399</v>
      </c>
      <c r="N63" s="3" t="s">
        <v>156</v>
      </c>
      <c r="O63" s="3" t="s">
        <v>143</v>
      </c>
      <c r="P63" s="3">
        <v>29</v>
      </c>
      <c r="Q63" s="3">
        <v>963</v>
      </c>
      <c r="R63" s="3">
        <v>23</v>
      </c>
      <c r="S63" s="3">
        <v>47.957601634951502</v>
      </c>
      <c r="T63" s="3" t="s">
        <v>26</v>
      </c>
      <c r="U63" s="3">
        <f t="shared" si="0"/>
        <v>449.81989401580682</v>
      </c>
      <c r="V63" s="3">
        <v>3.8446144787675801E-2</v>
      </c>
      <c r="W63" s="3">
        <v>3.8446144787675798</v>
      </c>
      <c r="X63" s="3" t="s">
        <v>36</v>
      </c>
      <c r="Y63" s="3" t="s">
        <v>141</v>
      </c>
      <c r="Z63">
        <v>4.9800209382088789E-2</v>
      </c>
      <c r="AA63">
        <v>36</v>
      </c>
      <c r="AB63">
        <v>4979.6473074932046</v>
      </c>
    </row>
    <row r="64" spans="1:28" x14ac:dyDescent="0.35">
      <c r="A64" s="5" t="s">
        <v>42</v>
      </c>
      <c r="B64" s="8" t="s">
        <v>99</v>
      </c>
      <c r="C64" s="3">
        <v>72.796353955587307</v>
      </c>
      <c r="D64" s="3">
        <v>89</v>
      </c>
      <c r="E64" s="3">
        <v>270</v>
      </c>
      <c r="F64" s="3">
        <v>3899.7468337292198</v>
      </c>
      <c r="G64" s="3" t="s">
        <v>32</v>
      </c>
      <c r="H64" s="3">
        <v>86</v>
      </c>
      <c r="I64" s="3">
        <v>2</v>
      </c>
      <c r="J64" s="3">
        <v>40</v>
      </c>
      <c r="K64" s="3">
        <v>7</v>
      </c>
      <c r="L64" s="3" t="s">
        <v>139</v>
      </c>
      <c r="M64" s="3">
        <v>7.2917013887767697</v>
      </c>
      <c r="N64" s="3" t="s">
        <v>154</v>
      </c>
      <c r="O64" s="3" t="s">
        <v>144</v>
      </c>
      <c r="P64" s="3">
        <v>24</v>
      </c>
      <c r="Q64" s="3">
        <v>826</v>
      </c>
      <c r="R64" s="3">
        <v>28</v>
      </c>
      <c r="S64" s="3">
        <v>12.8362845728327</v>
      </c>
      <c r="T64" s="3" t="s">
        <v>47</v>
      </c>
      <c r="U64" s="3">
        <f t="shared" si="0"/>
        <v>316.91398375461154</v>
      </c>
      <c r="V64" s="3">
        <v>1.1737554953874501E-2</v>
      </c>
      <c r="W64" s="3">
        <v>1.1737554953874501</v>
      </c>
      <c r="X64" s="3" t="s">
        <v>33</v>
      </c>
      <c r="Y64" s="3" t="s">
        <v>141</v>
      </c>
      <c r="Z64">
        <v>1.5540296093017795E-2</v>
      </c>
      <c r="AA64">
        <v>31</v>
      </c>
      <c r="AB64">
        <v>4161.0540435301045</v>
      </c>
    </row>
    <row r="65" spans="1:28" x14ac:dyDescent="0.35">
      <c r="A65" s="5" t="s">
        <v>28</v>
      </c>
      <c r="B65" s="8" t="s">
        <v>100</v>
      </c>
      <c r="C65" s="3">
        <v>13.0173767852878</v>
      </c>
      <c r="D65" s="3">
        <v>55</v>
      </c>
      <c r="E65" s="3">
        <v>246</v>
      </c>
      <c r="F65" s="3">
        <v>4256.9491408502199</v>
      </c>
      <c r="G65" s="3" t="s">
        <v>25</v>
      </c>
      <c r="H65" s="3">
        <v>54</v>
      </c>
      <c r="I65" s="3">
        <v>19</v>
      </c>
      <c r="J65" s="3">
        <v>10</v>
      </c>
      <c r="K65" s="3">
        <v>4</v>
      </c>
      <c r="L65" s="3" t="s">
        <v>137</v>
      </c>
      <c r="M65" s="3">
        <v>2.45793352798733</v>
      </c>
      <c r="N65" s="3" t="s">
        <v>155</v>
      </c>
      <c r="O65" s="3" t="s">
        <v>143</v>
      </c>
      <c r="P65" s="3">
        <v>21</v>
      </c>
      <c r="Q65" s="3">
        <v>824</v>
      </c>
      <c r="R65" s="3">
        <v>20</v>
      </c>
      <c r="S65" s="3">
        <v>35.633652343343797</v>
      </c>
      <c r="T65" s="3" t="s">
        <v>35</v>
      </c>
      <c r="U65" s="3">
        <f t="shared" si="0"/>
        <v>1024.7823216743384</v>
      </c>
      <c r="V65" s="3">
        <v>4.1657817954241401E-2</v>
      </c>
      <c r="W65" s="3">
        <v>4.1657817954241398</v>
      </c>
      <c r="X65" s="3" t="s">
        <v>33</v>
      </c>
      <c r="Y65" s="3" t="s">
        <v>140</v>
      </c>
      <c r="Z65">
        <v>4.3244723717650237E-2</v>
      </c>
      <c r="AA65">
        <v>25</v>
      </c>
      <c r="AB65">
        <v>4117.6192294407756</v>
      </c>
    </row>
    <row r="66" spans="1:28" x14ac:dyDescent="0.35">
      <c r="A66" s="5" t="s">
        <v>28</v>
      </c>
      <c r="B66" s="8" t="s">
        <v>101</v>
      </c>
      <c r="C66" s="3">
        <v>89.634095608135297</v>
      </c>
      <c r="D66" s="3">
        <v>11</v>
      </c>
      <c r="E66" s="3">
        <v>134</v>
      </c>
      <c r="F66" s="3">
        <v>8458.7308783671706</v>
      </c>
      <c r="G66" s="3" t="s">
        <v>30</v>
      </c>
      <c r="H66" s="3">
        <v>73</v>
      </c>
      <c r="I66" s="3">
        <v>27</v>
      </c>
      <c r="J66" s="3">
        <v>75</v>
      </c>
      <c r="K66" s="3">
        <v>6</v>
      </c>
      <c r="L66" s="3" t="s">
        <v>139</v>
      </c>
      <c r="M66" s="3">
        <v>4.5853534681946497</v>
      </c>
      <c r="N66" s="3" t="s">
        <v>153</v>
      </c>
      <c r="O66" s="3" t="s">
        <v>146</v>
      </c>
      <c r="P66" s="3">
        <v>28</v>
      </c>
      <c r="Q66" s="3">
        <v>698</v>
      </c>
      <c r="R66" s="3">
        <v>1</v>
      </c>
      <c r="S66" s="3">
        <v>19.789592941903599</v>
      </c>
      <c r="T66" s="3" t="s">
        <v>26</v>
      </c>
      <c r="U66" s="3">
        <f t="shared" si="0"/>
        <v>341.37131428752713</v>
      </c>
      <c r="V66" s="3">
        <v>2.54754712154871E-2</v>
      </c>
      <c r="W66" s="3">
        <v>2.54754712154871</v>
      </c>
      <c r="X66" s="3" t="s">
        <v>36</v>
      </c>
      <c r="Y66" s="3" t="s">
        <v>141</v>
      </c>
      <c r="Z66">
        <v>2.8351852352297421E-2</v>
      </c>
      <c r="AA66">
        <v>34</v>
      </c>
      <c r="AB66">
        <v>1383.89167973399</v>
      </c>
    </row>
    <row r="67" spans="1:28" x14ac:dyDescent="0.35">
      <c r="A67" s="5" t="s">
        <v>28</v>
      </c>
      <c r="B67" s="8" t="s">
        <v>102</v>
      </c>
      <c r="C67" s="3">
        <v>33.697717206643098</v>
      </c>
      <c r="D67" s="3">
        <v>72</v>
      </c>
      <c r="E67" s="3">
        <v>457</v>
      </c>
      <c r="F67" s="3">
        <v>8354.5796864819895</v>
      </c>
      <c r="G67" s="3" t="s">
        <v>40</v>
      </c>
      <c r="H67" s="3">
        <v>57</v>
      </c>
      <c r="I67" s="3">
        <v>24</v>
      </c>
      <c r="J67" s="3">
        <v>54</v>
      </c>
      <c r="K67" s="3">
        <v>8</v>
      </c>
      <c r="L67" s="3" t="s">
        <v>139</v>
      </c>
      <c r="M67" s="3">
        <v>6.5805413478845898</v>
      </c>
      <c r="N67" s="3" t="s">
        <v>157</v>
      </c>
      <c r="O67" s="3" t="s">
        <v>144</v>
      </c>
      <c r="P67" s="3">
        <v>10</v>
      </c>
      <c r="Q67" s="3">
        <v>535</v>
      </c>
      <c r="R67" s="3">
        <v>13</v>
      </c>
      <c r="S67" s="3">
        <v>65.765155926367399</v>
      </c>
      <c r="T67" s="3" t="s">
        <v>35</v>
      </c>
      <c r="U67" s="3">
        <f t="shared" ref="U67:U105" si="1">E67*W67</f>
        <v>1542.9406904661168</v>
      </c>
      <c r="V67" s="3">
        <v>3.3762378347179794E-2</v>
      </c>
      <c r="W67" s="3">
        <v>3.3762378347179798</v>
      </c>
      <c r="X67" s="3" t="s">
        <v>27</v>
      </c>
      <c r="Y67" s="3" t="s">
        <v>140</v>
      </c>
      <c r="Z67">
        <v>0.12292552509601383</v>
      </c>
      <c r="AA67">
        <v>18</v>
      </c>
      <c r="AB67">
        <v>2700.6621143398347</v>
      </c>
    </row>
    <row r="68" spans="1:28" x14ac:dyDescent="0.35">
      <c r="A68" s="5" t="s">
        <v>28</v>
      </c>
      <c r="B68" s="8" t="s">
        <v>103</v>
      </c>
      <c r="C68" s="3">
        <v>26.034869773962001</v>
      </c>
      <c r="D68" s="3">
        <v>52</v>
      </c>
      <c r="E68" s="3">
        <v>704</v>
      </c>
      <c r="F68" s="3">
        <v>8367.7216180201503</v>
      </c>
      <c r="G68" s="3" t="s">
        <v>30</v>
      </c>
      <c r="H68" s="3">
        <v>13</v>
      </c>
      <c r="I68" s="3">
        <v>17</v>
      </c>
      <c r="J68" s="3">
        <v>19</v>
      </c>
      <c r="K68" s="3">
        <v>8</v>
      </c>
      <c r="L68" s="3" t="s">
        <v>137</v>
      </c>
      <c r="M68" s="3">
        <v>2.2161427287713602</v>
      </c>
      <c r="N68" s="3" t="s">
        <v>157</v>
      </c>
      <c r="O68" s="3" t="s">
        <v>147</v>
      </c>
      <c r="P68" s="3">
        <v>18</v>
      </c>
      <c r="Q68" s="3">
        <v>736</v>
      </c>
      <c r="R68" s="3">
        <v>10</v>
      </c>
      <c r="S68" s="3">
        <v>20.075003975630398</v>
      </c>
      <c r="T68" s="3" t="s">
        <v>26</v>
      </c>
      <c r="U68" s="3">
        <f t="shared" si="1"/>
        <v>2557.5216764290199</v>
      </c>
      <c r="V68" s="3">
        <v>3.6328432903821303E-2</v>
      </c>
      <c r="W68" s="3">
        <v>3.6328432903821302</v>
      </c>
      <c r="X68" s="3" t="s">
        <v>41</v>
      </c>
      <c r="Y68" s="3" t="s">
        <v>140</v>
      </c>
      <c r="Z68">
        <v>2.727582061906304E-2</v>
      </c>
      <c r="AA68">
        <v>26</v>
      </c>
      <c r="AB68">
        <v>3436.4308893320849</v>
      </c>
    </row>
    <row r="69" spans="1:28" x14ac:dyDescent="0.35">
      <c r="A69" s="5" t="s">
        <v>28</v>
      </c>
      <c r="B69" s="8" t="s">
        <v>104</v>
      </c>
      <c r="C69" s="3">
        <v>87.755432354001002</v>
      </c>
      <c r="D69" s="3">
        <v>16</v>
      </c>
      <c r="E69" s="3">
        <v>513</v>
      </c>
      <c r="F69" s="3">
        <v>9473.7980325083299</v>
      </c>
      <c r="G69" s="3" t="s">
        <v>32</v>
      </c>
      <c r="H69" s="3">
        <v>12</v>
      </c>
      <c r="I69" s="3">
        <v>9</v>
      </c>
      <c r="J69" s="3">
        <v>71</v>
      </c>
      <c r="K69" s="3">
        <v>9</v>
      </c>
      <c r="L69" s="3" t="s">
        <v>139</v>
      </c>
      <c r="M69" s="3">
        <v>9.1478115447106294</v>
      </c>
      <c r="N69" s="3" t="s">
        <v>153</v>
      </c>
      <c r="O69" s="3" t="s">
        <v>147</v>
      </c>
      <c r="P69" s="3">
        <v>23</v>
      </c>
      <c r="Q69" s="3">
        <v>173</v>
      </c>
      <c r="R69" s="3">
        <v>10</v>
      </c>
      <c r="S69" s="3">
        <v>97.829050110173199</v>
      </c>
      <c r="T69" s="3" t="s">
        <v>26</v>
      </c>
      <c r="U69" s="3">
        <f t="shared" si="1"/>
        <v>836.74108002669482</v>
      </c>
      <c r="V69" s="3">
        <v>1.6310742300715299E-2</v>
      </c>
      <c r="W69" s="3">
        <v>1.63107423007153</v>
      </c>
      <c r="X69" s="3" t="s">
        <v>27</v>
      </c>
      <c r="Y69" s="3" t="s">
        <v>141</v>
      </c>
      <c r="Z69">
        <v>0.56548583878712833</v>
      </c>
      <c r="AA69">
        <v>32</v>
      </c>
      <c r="AB69">
        <v>2736.2050258048403</v>
      </c>
    </row>
    <row r="70" spans="1:28" x14ac:dyDescent="0.35">
      <c r="A70" s="5" t="s">
        <v>23</v>
      </c>
      <c r="B70" s="8" t="s">
        <v>105</v>
      </c>
      <c r="C70" s="3">
        <v>37.931812382790298</v>
      </c>
      <c r="D70" s="3">
        <v>29</v>
      </c>
      <c r="E70" s="3">
        <v>163</v>
      </c>
      <c r="F70" s="3">
        <v>3550.21843278099</v>
      </c>
      <c r="G70" s="3" t="s">
        <v>25</v>
      </c>
      <c r="H70" s="3">
        <v>0</v>
      </c>
      <c r="I70" s="3">
        <v>8</v>
      </c>
      <c r="J70" s="3">
        <v>58</v>
      </c>
      <c r="K70" s="3">
        <v>8</v>
      </c>
      <c r="L70" s="3" t="s">
        <v>138</v>
      </c>
      <c r="M70" s="3">
        <v>1.19425186488499</v>
      </c>
      <c r="N70" s="3" t="s">
        <v>154</v>
      </c>
      <c r="O70" s="3" t="s">
        <v>144</v>
      </c>
      <c r="P70" s="3">
        <v>13</v>
      </c>
      <c r="Q70" s="3">
        <v>751</v>
      </c>
      <c r="R70" s="3">
        <v>14</v>
      </c>
      <c r="S70" s="3">
        <v>21.048642725168602</v>
      </c>
      <c r="T70" s="3" t="s">
        <v>47</v>
      </c>
      <c r="U70" s="3">
        <f t="shared" si="1"/>
        <v>305.46222885923231</v>
      </c>
      <c r="V70" s="3">
        <v>1.87400140404437E-2</v>
      </c>
      <c r="W70" s="3">
        <v>1.87400140404437</v>
      </c>
      <c r="X70" s="3" t="s">
        <v>41</v>
      </c>
      <c r="Y70" s="3" t="s">
        <v>142</v>
      </c>
      <c r="Z70">
        <v>2.8027486984245807E-2</v>
      </c>
      <c r="AA70">
        <v>21</v>
      </c>
      <c r="AB70">
        <v>1604.2325787955551</v>
      </c>
    </row>
    <row r="71" spans="1:28" x14ac:dyDescent="0.35">
      <c r="A71" s="5" t="s">
        <v>28</v>
      </c>
      <c r="B71" s="8" t="s">
        <v>106</v>
      </c>
      <c r="C71" s="3">
        <v>54.865528517069698</v>
      </c>
      <c r="D71" s="3">
        <v>62</v>
      </c>
      <c r="E71" s="3">
        <v>511</v>
      </c>
      <c r="F71" s="3">
        <v>1752.3810874841199</v>
      </c>
      <c r="G71" s="3" t="s">
        <v>25</v>
      </c>
      <c r="H71" s="3">
        <v>95</v>
      </c>
      <c r="I71" s="3">
        <v>1</v>
      </c>
      <c r="J71" s="3">
        <v>27</v>
      </c>
      <c r="K71" s="3">
        <v>3</v>
      </c>
      <c r="L71" s="3" t="s">
        <v>138</v>
      </c>
      <c r="M71" s="3">
        <v>9.7052867901203399</v>
      </c>
      <c r="N71" s="3" t="s">
        <v>156</v>
      </c>
      <c r="O71" s="3" t="s">
        <v>147</v>
      </c>
      <c r="P71" s="3">
        <v>26</v>
      </c>
      <c r="Q71" s="3">
        <v>171</v>
      </c>
      <c r="R71" s="3">
        <v>4</v>
      </c>
      <c r="S71" s="3">
        <v>15.972229757181699</v>
      </c>
      <c r="T71" s="3" t="s">
        <v>47</v>
      </c>
      <c r="U71" s="3">
        <f t="shared" si="1"/>
        <v>1082.9723854664342</v>
      </c>
      <c r="V71" s="3">
        <v>2.11931973672492E-2</v>
      </c>
      <c r="W71" s="3">
        <v>2.1193197367249201</v>
      </c>
      <c r="X71" s="3" t="s">
        <v>36</v>
      </c>
      <c r="Y71" s="3" t="s">
        <v>140</v>
      </c>
      <c r="Z71">
        <v>9.3404852381179529E-2</v>
      </c>
      <c r="AA71">
        <v>29</v>
      </c>
      <c r="AB71">
        <v>3089.334582291885</v>
      </c>
    </row>
    <row r="72" spans="1:28" x14ac:dyDescent="0.35">
      <c r="A72" s="5" t="s">
        <v>23</v>
      </c>
      <c r="B72" s="8" t="s">
        <v>107</v>
      </c>
      <c r="C72" s="3">
        <v>47.914541824058702</v>
      </c>
      <c r="D72" s="3">
        <v>90</v>
      </c>
      <c r="E72" s="3">
        <v>32</v>
      </c>
      <c r="F72" s="3">
        <v>7014.8879872033804</v>
      </c>
      <c r="G72" s="3" t="s">
        <v>30</v>
      </c>
      <c r="H72" s="3">
        <v>10</v>
      </c>
      <c r="I72" s="3">
        <v>12</v>
      </c>
      <c r="J72" s="3">
        <v>22</v>
      </c>
      <c r="K72" s="3">
        <v>4</v>
      </c>
      <c r="L72" s="3" t="s">
        <v>138</v>
      </c>
      <c r="M72" s="3">
        <v>6.3157177546007199</v>
      </c>
      <c r="N72" s="3" t="s">
        <v>153</v>
      </c>
      <c r="O72" s="3" t="s">
        <v>147</v>
      </c>
      <c r="P72" s="3">
        <v>2</v>
      </c>
      <c r="Q72" s="3">
        <v>375</v>
      </c>
      <c r="R72" s="3">
        <v>18</v>
      </c>
      <c r="S72" s="3">
        <v>97.113581563462205</v>
      </c>
      <c r="T72" s="3" t="s">
        <v>35</v>
      </c>
      <c r="U72" s="3">
        <f t="shared" si="1"/>
        <v>63.470971909573763</v>
      </c>
      <c r="V72" s="3">
        <v>1.98346787217418E-2</v>
      </c>
      <c r="W72" s="3">
        <v>1.9834678721741801</v>
      </c>
      <c r="X72" s="3" t="s">
        <v>36</v>
      </c>
      <c r="Y72" s="3" t="s">
        <v>140</v>
      </c>
      <c r="Z72">
        <v>0.25896955083589923</v>
      </c>
      <c r="AA72">
        <v>6</v>
      </c>
      <c r="AB72">
        <v>1498.531515590515</v>
      </c>
    </row>
    <row r="73" spans="1:28" x14ac:dyDescent="0.35">
      <c r="A73" s="5" t="s">
        <v>42</v>
      </c>
      <c r="B73" s="8" t="s">
        <v>108</v>
      </c>
      <c r="C73" s="3">
        <v>6.3815331627479601</v>
      </c>
      <c r="D73" s="3">
        <v>14</v>
      </c>
      <c r="E73" s="3">
        <v>637</v>
      </c>
      <c r="F73" s="3">
        <v>8180.3370854254399</v>
      </c>
      <c r="G73" s="3" t="s">
        <v>30</v>
      </c>
      <c r="H73" s="3">
        <v>76</v>
      </c>
      <c r="I73" s="3">
        <v>2</v>
      </c>
      <c r="J73" s="3">
        <v>26</v>
      </c>
      <c r="K73" s="3">
        <v>6</v>
      </c>
      <c r="L73" s="3" t="s">
        <v>137</v>
      </c>
      <c r="M73" s="3">
        <v>9.2281903170525101</v>
      </c>
      <c r="N73" s="3" t="s">
        <v>154</v>
      </c>
      <c r="O73" s="3" t="s">
        <v>144</v>
      </c>
      <c r="P73" s="3">
        <v>6</v>
      </c>
      <c r="Q73" s="3">
        <v>955</v>
      </c>
      <c r="R73" s="3">
        <v>26</v>
      </c>
      <c r="S73" s="3">
        <v>4.4652784349432402</v>
      </c>
      <c r="T73" s="3" t="s">
        <v>26</v>
      </c>
      <c r="U73" s="3">
        <f t="shared" si="1"/>
        <v>2635.8276799724372</v>
      </c>
      <c r="V73" s="3">
        <v>4.1378770486223501E-2</v>
      </c>
      <c r="W73" s="3">
        <v>4.1378770486223502</v>
      </c>
      <c r="X73" s="3" t="s">
        <v>27</v>
      </c>
      <c r="Y73" s="3" t="s">
        <v>142</v>
      </c>
      <c r="Z73">
        <v>4.6756842250714557E-3</v>
      </c>
      <c r="AA73">
        <v>12</v>
      </c>
      <c r="AB73">
        <v>2949.8927781401999</v>
      </c>
    </row>
    <row r="74" spans="1:28" x14ac:dyDescent="0.35">
      <c r="A74" s="5" t="s">
        <v>42</v>
      </c>
      <c r="B74" s="8" t="s">
        <v>109</v>
      </c>
      <c r="C74" s="3">
        <v>90.204427520528</v>
      </c>
      <c r="D74" s="3">
        <v>88</v>
      </c>
      <c r="E74" s="3">
        <v>478</v>
      </c>
      <c r="F74" s="3">
        <v>2633.1219813122498</v>
      </c>
      <c r="G74" s="3" t="s">
        <v>25</v>
      </c>
      <c r="H74" s="3">
        <v>57</v>
      </c>
      <c r="I74" s="3">
        <v>29</v>
      </c>
      <c r="J74" s="3">
        <v>77</v>
      </c>
      <c r="K74" s="3">
        <v>9</v>
      </c>
      <c r="L74" s="3" t="s">
        <v>137</v>
      </c>
      <c r="M74" s="3">
        <v>6.5996141596895397</v>
      </c>
      <c r="N74" s="3" t="s">
        <v>153</v>
      </c>
      <c r="O74" s="3" t="s">
        <v>146</v>
      </c>
      <c r="P74" s="3">
        <v>27</v>
      </c>
      <c r="Q74" s="3">
        <v>918</v>
      </c>
      <c r="R74" s="3">
        <v>5</v>
      </c>
      <c r="S74" s="3">
        <v>30.323545256616502</v>
      </c>
      <c r="T74" s="3" t="s">
        <v>35</v>
      </c>
      <c r="U74" s="3">
        <f t="shared" si="1"/>
        <v>2174.3835971914696</v>
      </c>
      <c r="V74" s="3">
        <v>4.5489196593963797E-2</v>
      </c>
      <c r="W74" s="3">
        <v>4.5489196593963799</v>
      </c>
      <c r="X74" s="3" t="s">
        <v>41</v>
      </c>
      <c r="Y74" s="3" t="s">
        <v>141</v>
      </c>
      <c r="Z74">
        <v>3.3032184375399239E-2</v>
      </c>
      <c r="AA74">
        <v>36</v>
      </c>
      <c r="AB74">
        <v>1615.06463976239</v>
      </c>
    </row>
    <row r="75" spans="1:28" x14ac:dyDescent="0.35">
      <c r="A75" s="5" t="s">
        <v>42</v>
      </c>
      <c r="B75" s="8" t="s">
        <v>110</v>
      </c>
      <c r="C75" s="3">
        <v>83.851017681304597</v>
      </c>
      <c r="D75" s="3">
        <v>41</v>
      </c>
      <c r="E75" s="3">
        <v>375</v>
      </c>
      <c r="F75" s="3">
        <v>7910.8869161406801</v>
      </c>
      <c r="G75" s="3" t="s">
        <v>40</v>
      </c>
      <c r="H75" s="3">
        <v>17</v>
      </c>
      <c r="I75" s="3">
        <v>25</v>
      </c>
      <c r="J75" s="3">
        <v>66</v>
      </c>
      <c r="K75" s="3">
        <v>5</v>
      </c>
      <c r="L75" s="3" t="s">
        <v>138</v>
      </c>
      <c r="M75" s="3">
        <v>1.5129368369160701</v>
      </c>
      <c r="N75" s="3" t="s">
        <v>156</v>
      </c>
      <c r="O75" s="3" t="s">
        <v>145</v>
      </c>
      <c r="P75" s="3">
        <v>3</v>
      </c>
      <c r="Q75" s="3">
        <v>563</v>
      </c>
      <c r="R75" s="3">
        <v>3</v>
      </c>
      <c r="S75" s="3">
        <v>32.321286213424003</v>
      </c>
      <c r="T75" s="3" t="s">
        <v>35</v>
      </c>
      <c r="U75" s="3">
        <f t="shared" si="1"/>
        <v>810.47015533346621</v>
      </c>
      <c r="V75" s="3">
        <v>2.16125374755591E-2</v>
      </c>
      <c r="W75" s="3">
        <v>2.1612537475559099</v>
      </c>
      <c r="X75" s="3" t="s">
        <v>27</v>
      </c>
      <c r="Y75" s="3" t="s">
        <v>141</v>
      </c>
      <c r="Z75">
        <v>5.740903412686324E-2</v>
      </c>
      <c r="AA75">
        <v>8</v>
      </c>
      <c r="AB75">
        <v>2014.84394536885</v>
      </c>
    </row>
    <row r="76" spans="1:28" x14ac:dyDescent="0.35">
      <c r="A76" s="5" t="s">
        <v>23</v>
      </c>
      <c r="B76" s="8" t="s">
        <v>111</v>
      </c>
      <c r="C76" s="3">
        <v>3.1700114135661499</v>
      </c>
      <c r="D76" s="3">
        <v>64</v>
      </c>
      <c r="E76" s="3">
        <v>904</v>
      </c>
      <c r="F76" s="3">
        <v>5709.9452959692799</v>
      </c>
      <c r="G76" s="3" t="s">
        <v>30</v>
      </c>
      <c r="H76" s="3">
        <v>41</v>
      </c>
      <c r="I76" s="3">
        <v>6</v>
      </c>
      <c r="J76" s="3">
        <v>1</v>
      </c>
      <c r="K76" s="3">
        <v>5</v>
      </c>
      <c r="L76" s="3" t="s">
        <v>137</v>
      </c>
      <c r="M76" s="3">
        <v>5.2376546500374399</v>
      </c>
      <c r="N76" s="3" t="s">
        <v>156</v>
      </c>
      <c r="O76" s="3" t="s">
        <v>147</v>
      </c>
      <c r="P76" s="3">
        <v>10</v>
      </c>
      <c r="Q76" s="3">
        <v>104</v>
      </c>
      <c r="R76" s="3">
        <v>17</v>
      </c>
      <c r="S76" s="3">
        <v>56.766475557431797</v>
      </c>
      <c r="T76" s="3" t="s">
        <v>35</v>
      </c>
      <c r="U76" s="3">
        <f t="shared" si="1"/>
        <v>2512.3909344603285</v>
      </c>
      <c r="V76" s="3">
        <v>2.77919351157116E-2</v>
      </c>
      <c r="W76" s="3">
        <v>2.7791935115711599</v>
      </c>
      <c r="X76" s="3" t="s">
        <v>27</v>
      </c>
      <c r="Y76" s="3" t="s">
        <v>140</v>
      </c>
      <c r="Z76">
        <v>0.54583149574453649</v>
      </c>
      <c r="AA76">
        <v>15</v>
      </c>
      <c r="AB76">
        <v>1177.3061836776851</v>
      </c>
    </row>
    <row r="77" spans="1:28" x14ac:dyDescent="0.35">
      <c r="A77" s="5" t="s">
        <v>28</v>
      </c>
      <c r="B77" s="8" t="s">
        <v>112</v>
      </c>
      <c r="C77" s="3">
        <v>92.996884233970604</v>
      </c>
      <c r="D77" s="3">
        <v>29</v>
      </c>
      <c r="E77" s="3">
        <v>106</v>
      </c>
      <c r="F77" s="3">
        <v>1889.07358977933</v>
      </c>
      <c r="G77" s="3" t="s">
        <v>25</v>
      </c>
      <c r="H77" s="3">
        <v>16</v>
      </c>
      <c r="I77" s="3">
        <v>20</v>
      </c>
      <c r="J77" s="3">
        <v>56</v>
      </c>
      <c r="K77" s="3">
        <v>10</v>
      </c>
      <c r="L77" s="3" t="s">
        <v>139</v>
      </c>
      <c r="M77" s="3">
        <v>2.47389776104546</v>
      </c>
      <c r="N77" s="3" t="s">
        <v>153</v>
      </c>
      <c r="O77" s="3" t="s">
        <v>145</v>
      </c>
      <c r="P77" s="3">
        <v>27</v>
      </c>
      <c r="Q77" s="3">
        <v>806</v>
      </c>
      <c r="R77" s="3">
        <v>30</v>
      </c>
      <c r="S77" s="3">
        <v>51.634893400109299</v>
      </c>
      <c r="T77" s="3" t="s">
        <v>26</v>
      </c>
      <c r="U77" s="3">
        <f t="shared" si="1"/>
        <v>102.33183876735366</v>
      </c>
      <c r="V77" s="3">
        <v>9.6539470535239296E-3</v>
      </c>
      <c r="W77" s="3">
        <v>0.96539470535239302</v>
      </c>
      <c r="X77" s="3" t="s">
        <v>27</v>
      </c>
      <c r="Y77" s="3" t="s">
        <v>142</v>
      </c>
      <c r="Z77">
        <v>6.4063143176314272E-2</v>
      </c>
      <c r="AA77">
        <v>37</v>
      </c>
      <c r="AB77">
        <v>4400.4049412358054</v>
      </c>
    </row>
    <row r="78" spans="1:28" x14ac:dyDescent="0.35">
      <c r="A78" s="5" t="s">
        <v>23</v>
      </c>
      <c r="B78" s="8" t="s">
        <v>113</v>
      </c>
      <c r="C78" s="3">
        <v>69.108799547430294</v>
      </c>
      <c r="D78" s="3">
        <v>23</v>
      </c>
      <c r="E78" s="3">
        <v>241</v>
      </c>
      <c r="F78" s="3">
        <v>5328.3759842977497</v>
      </c>
      <c r="G78" s="3" t="s">
        <v>40</v>
      </c>
      <c r="H78" s="3">
        <v>38</v>
      </c>
      <c r="I78" s="3">
        <v>1</v>
      </c>
      <c r="J78" s="3">
        <v>22</v>
      </c>
      <c r="K78" s="3">
        <v>10</v>
      </c>
      <c r="L78" s="3" t="s">
        <v>137</v>
      </c>
      <c r="M78" s="3">
        <v>7.0545383368369201</v>
      </c>
      <c r="N78" s="3" t="s">
        <v>154</v>
      </c>
      <c r="O78" s="3" t="s">
        <v>144</v>
      </c>
      <c r="P78" s="3">
        <v>25</v>
      </c>
      <c r="Q78" s="3">
        <v>291</v>
      </c>
      <c r="R78" s="3">
        <v>4</v>
      </c>
      <c r="S78" s="3">
        <v>10.5282450700421</v>
      </c>
      <c r="T78" s="3" t="s">
        <v>35</v>
      </c>
      <c r="U78" s="3">
        <f t="shared" si="1"/>
        <v>690.38494892989218</v>
      </c>
      <c r="V78" s="3">
        <v>2.8646678378833702E-2</v>
      </c>
      <c r="W78" s="3">
        <v>2.8646678378833701</v>
      </c>
      <c r="X78" s="3" t="s">
        <v>41</v>
      </c>
      <c r="Y78" s="3" t="s">
        <v>141</v>
      </c>
      <c r="Z78">
        <v>3.6179536323168726E-2</v>
      </c>
      <c r="AA78">
        <v>35</v>
      </c>
      <c r="AB78">
        <v>3812.2959107784154</v>
      </c>
    </row>
    <row r="79" spans="1:28" x14ac:dyDescent="0.35">
      <c r="A79" s="5" t="s">
        <v>23</v>
      </c>
      <c r="B79" s="8" t="s">
        <v>114</v>
      </c>
      <c r="C79" s="3">
        <v>57.449742958971399</v>
      </c>
      <c r="D79" s="3">
        <v>14</v>
      </c>
      <c r="E79" s="3">
        <v>359</v>
      </c>
      <c r="F79" s="3">
        <v>2483.7601775427902</v>
      </c>
      <c r="G79" s="3" t="s">
        <v>32</v>
      </c>
      <c r="H79" s="3">
        <v>96</v>
      </c>
      <c r="I79" s="3">
        <v>28</v>
      </c>
      <c r="J79" s="3">
        <v>57</v>
      </c>
      <c r="K79" s="3">
        <v>4</v>
      </c>
      <c r="L79" s="3" t="s">
        <v>138</v>
      </c>
      <c r="M79" s="3">
        <v>6.7809466256178901</v>
      </c>
      <c r="N79" s="3" t="s">
        <v>153</v>
      </c>
      <c r="O79" s="3" t="s">
        <v>146</v>
      </c>
      <c r="P79" s="3">
        <v>5</v>
      </c>
      <c r="Q79" s="3">
        <v>414</v>
      </c>
      <c r="R79" s="3">
        <v>3</v>
      </c>
      <c r="S79" s="3">
        <v>92.065160598712794</v>
      </c>
      <c r="T79" s="3" t="s">
        <v>35</v>
      </c>
      <c r="U79" s="3">
        <f t="shared" si="1"/>
        <v>1129.263048697047</v>
      </c>
      <c r="V79" s="3">
        <v>3.1455795228330002E-2</v>
      </c>
      <c r="W79" s="3">
        <v>3.1455795228330001</v>
      </c>
      <c r="X79" s="3" t="s">
        <v>33</v>
      </c>
      <c r="Y79" s="3" t="s">
        <v>140</v>
      </c>
      <c r="Z79">
        <v>0.22237961497273623</v>
      </c>
      <c r="AA79">
        <v>9</v>
      </c>
      <c r="AB79">
        <v>4617.2031585596105</v>
      </c>
    </row>
    <row r="80" spans="1:28" x14ac:dyDescent="0.35">
      <c r="A80" s="5" t="s">
        <v>23</v>
      </c>
      <c r="B80" s="8" t="s">
        <v>115</v>
      </c>
      <c r="C80" s="3">
        <v>6.30688317611191</v>
      </c>
      <c r="D80" s="3">
        <v>50</v>
      </c>
      <c r="E80" s="3">
        <v>946</v>
      </c>
      <c r="F80" s="3">
        <v>1292.45841793775</v>
      </c>
      <c r="G80" s="3" t="s">
        <v>32</v>
      </c>
      <c r="H80" s="3">
        <v>5</v>
      </c>
      <c r="I80" s="3">
        <v>4</v>
      </c>
      <c r="J80" s="3">
        <v>51</v>
      </c>
      <c r="K80" s="3">
        <v>5</v>
      </c>
      <c r="L80" s="3" t="s">
        <v>138</v>
      </c>
      <c r="M80" s="3">
        <v>8.4670497708619905</v>
      </c>
      <c r="N80" s="3" t="s">
        <v>157</v>
      </c>
      <c r="O80" s="3" t="s">
        <v>143</v>
      </c>
      <c r="P80" s="3">
        <v>7</v>
      </c>
      <c r="Q80" s="3">
        <v>453</v>
      </c>
      <c r="R80" s="3">
        <v>16</v>
      </c>
      <c r="S80" s="3">
        <v>47.679680368355299</v>
      </c>
      <c r="T80" s="3" t="s">
        <v>35</v>
      </c>
      <c r="U80" s="3">
        <f t="shared" si="1"/>
        <v>96.511634152594496</v>
      </c>
      <c r="V80" s="3">
        <v>1.0202075491817599E-3</v>
      </c>
      <c r="W80" s="3">
        <v>0.102020754918176</v>
      </c>
      <c r="X80" s="3" t="s">
        <v>33</v>
      </c>
      <c r="Y80" s="3" t="s">
        <v>142</v>
      </c>
      <c r="Z80">
        <v>0.10525315754603819</v>
      </c>
      <c r="AA80">
        <v>12</v>
      </c>
      <c r="AB80">
        <v>3354.6719539620499</v>
      </c>
    </row>
    <row r="81" spans="1:28" x14ac:dyDescent="0.35">
      <c r="A81" s="5" t="s">
        <v>23</v>
      </c>
      <c r="B81" s="8" t="s">
        <v>116</v>
      </c>
      <c r="C81" s="3">
        <v>57.057031221103202</v>
      </c>
      <c r="D81" s="3">
        <v>56</v>
      </c>
      <c r="E81" s="3">
        <v>198</v>
      </c>
      <c r="F81" s="3">
        <v>7888.7232684270803</v>
      </c>
      <c r="G81" s="3" t="s">
        <v>25</v>
      </c>
      <c r="H81" s="3">
        <v>31</v>
      </c>
      <c r="I81" s="3">
        <v>25</v>
      </c>
      <c r="J81" s="3">
        <v>20</v>
      </c>
      <c r="K81" s="3">
        <v>1</v>
      </c>
      <c r="L81" s="3" t="s">
        <v>138</v>
      </c>
      <c r="M81" s="3">
        <v>6.49632536429504</v>
      </c>
      <c r="N81" s="3" t="s">
        <v>155</v>
      </c>
      <c r="O81" s="3" t="s">
        <v>147</v>
      </c>
      <c r="P81" s="3">
        <v>21</v>
      </c>
      <c r="Q81" s="3">
        <v>152</v>
      </c>
      <c r="R81" s="3">
        <v>11</v>
      </c>
      <c r="S81" s="3">
        <v>55.760492895244198</v>
      </c>
      <c r="T81" s="3" t="s">
        <v>26</v>
      </c>
      <c r="U81" s="3">
        <f t="shared" si="1"/>
        <v>636.23926227278344</v>
      </c>
      <c r="V81" s="3">
        <v>3.2133296074382998E-2</v>
      </c>
      <c r="W81" s="3">
        <v>3.2133296074383</v>
      </c>
      <c r="X81" s="3" t="s">
        <v>36</v>
      </c>
      <c r="Y81" s="3" t="s">
        <v>141</v>
      </c>
      <c r="Z81">
        <v>0.3668453479950276</v>
      </c>
      <c r="AA81">
        <v>22</v>
      </c>
      <c r="AB81">
        <v>3389.722849230915</v>
      </c>
    </row>
    <row r="82" spans="1:28" x14ac:dyDescent="0.35">
      <c r="A82" s="5" t="s">
        <v>28</v>
      </c>
      <c r="B82" s="8" t="s">
        <v>117</v>
      </c>
      <c r="C82" s="3">
        <v>91.128318350444303</v>
      </c>
      <c r="D82" s="3">
        <v>75</v>
      </c>
      <c r="E82" s="3">
        <v>872</v>
      </c>
      <c r="F82" s="3">
        <v>8651.67268298206</v>
      </c>
      <c r="G82" s="3" t="s">
        <v>32</v>
      </c>
      <c r="H82" s="3">
        <v>39</v>
      </c>
      <c r="I82" s="3">
        <v>14</v>
      </c>
      <c r="J82" s="3">
        <v>41</v>
      </c>
      <c r="K82" s="3">
        <v>2</v>
      </c>
      <c r="L82" s="3" t="s">
        <v>139</v>
      </c>
      <c r="M82" s="3">
        <v>2.8331846794189701</v>
      </c>
      <c r="N82" s="3" t="s">
        <v>155</v>
      </c>
      <c r="O82" s="3" t="s">
        <v>143</v>
      </c>
      <c r="P82" s="3">
        <v>18</v>
      </c>
      <c r="Q82" s="3">
        <v>870</v>
      </c>
      <c r="R82" s="3">
        <v>23</v>
      </c>
      <c r="S82" s="3">
        <v>77.322353211051606</v>
      </c>
      <c r="T82" s="3" t="s">
        <v>26</v>
      </c>
      <c r="U82" s="3">
        <f t="shared" si="1"/>
        <v>3181.5884366915661</v>
      </c>
      <c r="V82" s="3">
        <v>3.6486105925362E-2</v>
      </c>
      <c r="W82" s="3">
        <v>3.6486105925361998</v>
      </c>
      <c r="X82" s="3" t="s">
        <v>27</v>
      </c>
      <c r="Y82" s="3" t="s">
        <v>141</v>
      </c>
      <c r="Z82">
        <v>8.8876268058680014E-2</v>
      </c>
      <c r="AA82">
        <v>20</v>
      </c>
      <c r="AB82">
        <v>1902.17968555982</v>
      </c>
    </row>
    <row r="83" spans="1:28" x14ac:dyDescent="0.35">
      <c r="A83" s="5" t="s">
        <v>23</v>
      </c>
      <c r="B83" s="8" t="s">
        <v>118</v>
      </c>
      <c r="C83" s="3">
        <v>72.819206930318202</v>
      </c>
      <c r="D83" s="3">
        <v>9</v>
      </c>
      <c r="E83" s="3">
        <v>774</v>
      </c>
      <c r="F83" s="3">
        <v>4384.4134000458598</v>
      </c>
      <c r="G83" s="3" t="s">
        <v>32</v>
      </c>
      <c r="H83" s="3">
        <v>48</v>
      </c>
      <c r="I83" s="3">
        <v>6</v>
      </c>
      <c r="J83" s="3">
        <v>8</v>
      </c>
      <c r="K83" s="3">
        <v>5</v>
      </c>
      <c r="L83" s="3" t="s">
        <v>138</v>
      </c>
      <c r="M83" s="3">
        <v>4.0662775015120403</v>
      </c>
      <c r="N83" s="3" t="s">
        <v>155</v>
      </c>
      <c r="O83" s="3" t="s">
        <v>143</v>
      </c>
      <c r="P83" s="3">
        <v>20</v>
      </c>
      <c r="Q83" s="3">
        <v>694</v>
      </c>
      <c r="R83" s="3">
        <v>16</v>
      </c>
      <c r="S83" s="3">
        <v>82.373320587990193</v>
      </c>
      <c r="T83" s="3" t="s">
        <v>35</v>
      </c>
      <c r="U83" s="3">
        <f t="shared" si="1"/>
        <v>2822.3529698327734</v>
      </c>
      <c r="V83" s="3">
        <v>3.6464508654170197E-2</v>
      </c>
      <c r="W83" s="3">
        <v>3.64645086541702</v>
      </c>
      <c r="X83" s="3" t="s">
        <v>27</v>
      </c>
      <c r="Y83" s="3" t="s">
        <v>142</v>
      </c>
      <c r="Z83">
        <v>0.11869354551583601</v>
      </c>
      <c r="AA83">
        <v>25</v>
      </c>
      <c r="AB83">
        <v>2386.5381554545147</v>
      </c>
    </row>
    <row r="84" spans="1:28" x14ac:dyDescent="0.35">
      <c r="A84" s="5" t="s">
        <v>28</v>
      </c>
      <c r="B84" s="8" t="s">
        <v>119</v>
      </c>
      <c r="C84" s="3">
        <v>17.034930739467899</v>
      </c>
      <c r="D84" s="3">
        <v>13</v>
      </c>
      <c r="E84" s="3">
        <v>336</v>
      </c>
      <c r="F84" s="3">
        <v>2943.3818676094502</v>
      </c>
      <c r="G84" s="3" t="s">
        <v>32</v>
      </c>
      <c r="H84" s="3">
        <v>42</v>
      </c>
      <c r="I84" s="3">
        <v>19</v>
      </c>
      <c r="J84" s="3">
        <v>72</v>
      </c>
      <c r="K84" s="3">
        <v>1</v>
      </c>
      <c r="L84" s="3" t="s">
        <v>137</v>
      </c>
      <c r="M84" s="3">
        <v>4.7081818735419301</v>
      </c>
      <c r="N84" s="3" t="s">
        <v>154</v>
      </c>
      <c r="O84" s="3" t="s">
        <v>145</v>
      </c>
      <c r="P84" s="3">
        <v>26</v>
      </c>
      <c r="Q84" s="3">
        <v>334</v>
      </c>
      <c r="R84" s="3">
        <v>5</v>
      </c>
      <c r="S84" s="3">
        <v>42.952444748991802</v>
      </c>
      <c r="T84" s="3" t="s">
        <v>47</v>
      </c>
      <c r="U84" s="3">
        <f t="shared" si="1"/>
        <v>1026.5276509513333</v>
      </c>
      <c r="V84" s="3">
        <v>3.0551418183075399E-2</v>
      </c>
      <c r="W84" s="3">
        <v>3.0551418183075398</v>
      </c>
      <c r="X84" s="3" t="s">
        <v>27</v>
      </c>
      <c r="Y84" s="3" t="s">
        <v>141</v>
      </c>
      <c r="Z84">
        <v>0.12860013397901737</v>
      </c>
      <c r="AA84">
        <v>27</v>
      </c>
      <c r="AB84">
        <v>4262.8404945992497</v>
      </c>
    </row>
    <row r="85" spans="1:28" x14ac:dyDescent="0.35">
      <c r="A85" s="5" t="s">
        <v>23</v>
      </c>
      <c r="B85" s="8" t="s">
        <v>120</v>
      </c>
      <c r="C85" s="3">
        <v>68.911246211606297</v>
      </c>
      <c r="D85" s="3">
        <v>82</v>
      </c>
      <c r="E85" s="3">
        <v>663</v>
      </c>
      <c r="F85" s="3">
        <v>2411.7546321104901</v>
      </c>
      <c r="G85" s="3" t="s">
        <v>32</v>
      </c>
      <c r="H85" s="3">
        <v>65</v>
      </c>
      <c r="I85" s="3">
        <v>24</v>
      </c>
      <c r="J85" s="3">
        <v>7</v>
      </c>
      <c r="K85" s="3">
        <v>8</v>
      </c>
      <c r="L85" s="3" t="s">
        <v>138</v>
      </c>
      <c r="M85" s="3">
        <v>4.94983957799694</v>
      </c>
      <c r="N85" s="3" t="s">
        <v>153</v>
      </c>
      <c r="O85" s="3" t="s">
        <v>145</v>
      </c>
      <c r="P85" s="3">
        <v>24</v>
      </c>
      <c r="Q85" s="3">
        <v>867</v>
      </c>
      <c r="R85" s="3">
        <v>15</v>
      </c>
      <c r="S85" s="3">
        <v>34.343277465075303</v>
      </c>
      <c r="T85" s="3" t="s">
        <v>26</v>
      </c>
      <c r="U85" s="3">
        <f t="shared" si="1"/>
        <v>1730.6210002542969</v>
      </c>
      <c r="V85" s="3">
        <v>2.61028808484811E-2</v>
      </c>
      <c r="W85" s="3">
        <v>2.61028808484811</v>
      </c>
      <c r="X85" s="3" t="s">
        <v>41</v>
      </c>
      <c r="Y85" s="3" t="s">
        <v>140</v>
      </c>
      <c r="Z85">
        <v>3.9611623373789276E-2</v>
      </c>
      <c r="AA85">
        <v>32</v>
      </c>
      <c r="AB85">
        <v>919.66484021796998</v>
      </c>
    </row>
    <row r="86" spans="1:28" x14ac:dyDescent="0.35">
      <c r="A86" s="5" t="s">
        <v>23</v>
      </c>
      <c r="B86" s="8" t="s">
        <v>121</v>
      </c>
      <c r="C86" s="3">
        <v>89.104367292102197</v>
      </c>
      <c r="D86" s="3">
        <v>99</v>
      </c>
      <c r="E86" s="3">
        <v>618</v>
      </c>
      <c r="F86" s="3">
        <v>2048.2900998487098</v>
      </c>
      <c r="G86" s="3" t="s">
        <v>32</v>
      </c>
      <c r="H86" s="3">
        <v>73</v>
      </c>
      <c r="I86" s="3">
        <v>26</v>
      </c>
      <c r="J86" s="3">
        <v>80</v>
      </c>
      <c r="K86" s="3">
        <v>10</v>
      </c>
      <c r="L86" s="3" t="s">
        <v>137</v>
      </c>
      <c r="M86" s="3">
        <v>8.3816156249226292</v>
      </c>
      <c r="N86" s="3" t="s">
        <v>157</v>
      </c>
      <c r="O86" s="3" t="s">
        <v>145</v>
      </c>
      <c r="P86" s="3">
        <v>22</v>
      </c>
      <c r="Q86" s="3">
        <v>780</v>
      </c>
      <c r="R86" s="3">
        <v>28</v>
      </c>
      <c r="S86" s="3">
        <v>50.120839612977299</v>
      </c>
      <c r="T86" s="3" t="s">
        <v>35</v>
      </c>
      <c r="U86" s="3">
        <f t="shared" si="1"/>
        <v>1601.4082424444659</v>
      </c>
      <c r="V86" s="3">
        <v>2.5912754732111097E-2</v>
      </c>
      <c r="W86" s="3">
        <v>2.5912754732111098</v>
      </c>
      <c r="X86" s="3" t="s">
        <v>36</v>
      </c>
      <c r="Y86" s="3" t="s">
        <v>142</v>
      </c>
      <c r="Z86">
        <v>6.4257486683304235E-2</v>
      </c>
      <c r="AA86">
        <v>32</v>
      </c>
      <c r="AB86">
        <v>1027.8599791347349</v>
      </c>
    </row>
    <row r="87" spans="1:28" x14ac:dyDescent="0.35">
      <c r="A87" s="5" t="s">
        <v>42</v>
      </c>
      <c r="B87" s="8" t="s">
        <v>122</v>
      </c>
      <c r="C87" s="3">
        <v>76.962994415193805</v>
      </c>
      <c r="D87" s="3">
        <v>83</v>
      </c>
      <c r="E87" s="3">
        <v>25</v>
      </c>
      <c r="F87" s="3">
        <v>8684.6130592538502</v>
      </c>
      <c r="G87" s="3" t="s">
        <v>30</v>
      </c>
      <c r="H87" s="3">
        <v>15</v>
      </c>
      <c r="I87" s="3">
        <v>18</v>
      </c>
      <c r="J87" s="3">
        <v>66</v>
      </c>
      <c r="K87" s="3">
        <v>2</v>
      </c>
      <c r="L87" s="3" t="s">
        <v>139</v>
      </c>
      <c r="M87" s="3">
        <v>8.2491687048717193</v>
      </c>
      <c r="N87" s="3" t="s">
        <v>157</v>
      </c>
      <c r="O87" s="3" t="s">
        <v>147</v>
      </c>
      <c r="P87" s="3">
        <v>20</v>
      </c>
      <c r="Q87" s="3">
        <v>443</v>
      </c>
      <c r="R87" s="3">
        <v>5</v>
      </c>
      <c r="S87" s="3">
        <v>97.730593800533001</v>
      </c>
      <c r="T87" s="3" t="s">
        <v>35</v>
      </c>
      <c r="U87" s="3">
        <f t="shared" si="1"/>
        <v>19.325153351681177</v>
      </c>
      <c r="V87" s="3">
        <v>7.7300613406724701E-3</v>
      </c>
      <c r="W87" s="3">
        <v>0.77300613406724705</v>
      </c>
      <c r="X87" s="3" t="s">
        <v>27</v>
      </c>
      <c r="Y87" s="3" t="s">
        <v>140</v>
      </c>
      <c r="Z87">
        <v>0.22061082122016479</v>
      </c>
      <c r="AA87">
        <v>22</v>
      </c>
      <c r="AB87">
        <v>3414.8550911304646</v>
      </c>
    </row>
    <row r="88" spans="1:28" x14ac:dyDescent="0.35">
      <c r="A88" s="5" t="s">
        <v>28</v>
      </c>
      <c r="B88" s="8" t="s">
        <v>123</v>
      </c>
      <c r="C88" s="3">
        <v>19.9981769404042</v>
      </c>
      <c r="D88" s="3">
        <v>18</v>
      </c>
      <c r="E88" s="3">
        <v>223</v>
      </c>
      <c r="F88" s="3">
        <v>1229.59102856498</v>
      </c>
      <c r="G88" s="3" t="s">
        <v>32</v>
      </c>
      <c r="H88" s="3">
        <v>32</v>
      </c>
      <c r="I88" s="3">
        <v>14</v>
      </c>
      <c r="J88" s="3">
        <v>22</v>
      </c>
      <c r="K88" s="3">
        <v>6</v>
      </c>
      <c r="L88" s="3" t="s">
        <v>138</v>
      </c>
      <c r="M88" s="3">
        <v>1.4543053101535499</v>
      </c>
      <c r="N88" s="3" t="s">
        <v>153</v>
      </c>
      <c r="O88" s="3" t="s">
        <v>145</v>
      </c>
      <c r="P88" s="3">
        <v>18</v>
      </c>
      <c r="Q88" s="3">
        <v>830</v>
      </c>
      <c r="R88" s="3">
        <v>5</v>
      </c>
      <c r="S88" s="3">
        <v>96.527352785310896</v>
      </c>
      <c r="T88" s="3" t="s">
        <v>47</v>
      </c>
      <c r="U88" s="3">
        <f t="shared" si="1"/>
        <v>385.1910060233746</v>
      </c>
      <c r="V88" s="3">
        <v>1.7273139283559402E-2</v>
      </c>
      <c r="W88" s="3">
        <v>1.72731392835594</v>
      </c>
      <c r="X88" s="3" t="s">
        <v>27</v>
      </c>
      <c r="Y88" s="3" t="s">
        <v>141</v>
      </c>
      <c r="Z88">
        <v>0.11629801540398903</v>
      </c>
      <c r="AA88">
        <v>24</v>
      </c>
      <c r="AB88">
        <v>4030.5158885146147</v>
      </c>
    </row>
    <row r="89" spans="1:28" x14ac:dyDescent="0.35">
      <c r="A89" s="5" t="s">
        <v>23</v>
      </c>
      <c r="B89" s="8" t="s">
        <v>124</v>
      </c>
      <c r="C89" s="3">
        <v>80.414036650355698</v>
      </c>
      <c r="D89" s="3">
        <v>24</v>
      </c>
      <c r="E89" s="3">
        <v>79</v>
      </c>
      <c r="F89" s="3">
        <v>5133.8467010866898</v>
      </c>
      <c r="G89" s="3" t="s">
        <v>40</v>
      </c>
      <c r="H89" s="3">
        <v>5</v>
      </c>
      <c r="I89" s="3">
        <v>7</v>
      </c>
      <c r="J89" s="3">
        <v>55</v>
      </c>
      <c r="K89" s="3">
        <v>10</v>
      </c>
      <c r="L89" s="3" t="s">
        <v>137</v>
      </c>
      <c r="M89" s="3">
        <v>6.5758037975485299</v>
      </c>
      <c r="N89" s="3" t="s">
        <v>155</v>
      </c>
      <c r="O89" s="3" t="s">
        <v>145</v>
      </c>
      <c r="P89" s="3">
        <v>19</v>
      </c>
      <c r="Q89" s="3">
        <v>934</v>
      </c>
      <c r="R89" s="3">
        <v>23</v>
      </c>
      <c r="S89" s="3">
        <v>78.280383118415301</v>
      </c>
      <c r="T89" s="3" t="s">
        <v>26</v>
      </c>
      <c r="U89" s="3">
        <f t="shared" si="1"/>
        <v>299.98126615202023</v>
      </c>
      <c r="V89" s="3">
        <v>3.7972312171141803E-2</v>
      </c>
      <c r="W89" s="3">
        <v>3.79723121711418</v>
      </c>
      <c r="X89" s="3" t="s">
        <v>27</v>
      </c>
      <c r="Y89" s="3" t="s">
        <v>141</v>
      </c>
      <c r="Z89">
        <v>8.3811973360187683E-2</v>
      </c>
      <c r="AA89">
        <v>29</v>
      </c>
      <c r="AB89">
        <v>2292.679728696045</v>
      </c>
    </row>
    <row r="90" spans="1:28" x14ac:dyDescent="0.35">
      <c r="A90" s="5" t="s">
        <v>42</v>
      </c>
      <c r="B90" s="8" t="s">
        <v>125</v>
      </c>
      <c r="C90" s="3">
        <v>75.270406975724995</v>
      </c>
      <c r="D90" s="3">
        <v>58</v>
      </c>
      <c r="E90" s="3">
        <v>737</v>
      </c>
      <c r="F90" s="3">
        <v>9444.7420330629793</v>
      </c>
      <c r="G90" s="3" t="s">
        <v>40</v>
      </c>
      <c r="H90" s="3">
        <v>60</v>
      </c>
      <c r="I90" s="3">
        <v>18</v>
      </c>
      <c r="J90" s="3">
        <v>85</v>
      </c>
      <c r="K90" s="3">
        <v>7</v>
      </c>
      <c r="L90" s="3" t="s">
        <v>137</v>
      </c>
      <c r="M90" s="3">
        <v>3.8012531329310701</v>
      </c>
      <c r="N90" s="3" t="s">
        <v>154</v>
      </c>
      <c r="O90" s="3" t="s">
        <v>144</v>
      </c>
      <c r="P90" s="3">
        <v>4</v>
      </c>
      <c r="Q90" s="3">
        <v>671</v>
      </c>
      <c r="R90" s="3">
        <v>29</v>
      </c>
      <c r="S90" s="3">
        <v>62.612690395614301</v>
      </c>
      <c r="T90" s="3" t="s">
        <v>47</v>
      </c>
      <c r="U90" s="3">
        <f t="shared" si="1"/>
        <v>245.73925519063266</v>
      </c>
      <c r="V90" s="3">
        <v>3.3343182522473903E-3</v>
      </c>
      <c r="W90" s="3">
        <v>0.33343182522473902</v>
      </c>
      <c r="X90" s="3" t="s">
        <v>36</v>
      </c>
      <c r="Y90" s="3" t="s">
        <v>141</v>
      </c>
      <c r="Z90">
        <v>9.3312504315371539E-2</v>
      </c>
      <c r="AA90">
        <v>11</v>
      </c>
      <c r="AB90">
        <v>1150.4639126838101</v>
      </c>
    </row>
    <row r="91" spans="1:28" x14ac:dyDescent="0.35">
      <c r="A91" s="5" t="s">
        <v>42</v>
      </c>
      <c r="B91" s="8" t="s">
        <v>126</v>
      </c>
      <c r="C91" s="3">
        <v>97.760085581938597</v>
      </c>
      <c r="D91" s="3">
        <v>10</v>
      </c>
      <c r="E91" s="3">
        <v>134</v>
      </c>
      <c r="F91" s="3">
        <v>5924.6825668532301</v>
      </c>
      <c r="G91" s="3" t="s">
        <v>32</v>
      </c>
      <c r="H91" s="3">
        <v>90</v>
      </c>
      <c r="I91" s="3">
        <v>1</v>
      </c>
      <c r="J91" s="3">
        <v>27</v>
      </c>
      <c r="K91" s="3">
        <v>8</v>
      </c>
      <c r="L91" s="3" t="s">
        <v>138</v>
      </c>
      <c r="M91" s="3">
        <v>9.9298162452772498</v>
      </c>
      <c r="N91" s="3" t="s">
        <v>153</v>
      </c>
      <c r="O91" s="3" t="s">
        <v>143</v>
      </c>
      <c r="P91" s="3">
        <v>24</v>
      </c>
      <c r="Q91" s="3">
        <v>589</v>
      </c>
      <c r="R91" s="3">
        <v>22</v>
      </c>
      <c r="S91" s="3">
        <v>33.808636513209002</v>
      </c>
      <c r="T91" s="3" t="s">
        <v>47</v>
      </c>
      <c r="U91" s="3">
        <f t="shared" si="1"/>
        <v>649.02318133381743</v>
      </c>
      <c r="V91" s="3">
        <v>4.8434565771180403E-2</v>
      </c>
      <c r="W91" s="3">
        <v>4.8434565771180402</v>
      </c>
      <c r="X91" s="3" t="s">
        <v>33</v>
      </c>
      <c r="Y91" s="3" t="s">
        <v>141</v>
      </c>
      <c r="Z91">
        <v>5.7400061991865876E-2</v>
      </c>
      <c r="AA91">
        <v>32</v>
      </c>
      <c r="AB91">
        <v>2327.2850298184349</v>
      </c>
    </row>
    <row r="92" spans="1:28" x14ac:dyDescent="0.35">
      <c r="A92" s="5" t="s">
        <v>28</v>
      </c>
      <c r="B92" s="8" t="s">
        <v>123</v>
      </c>
      <c r="C92" s="3">
        <v>19.9981769404042</v>
      </c>
      <c r="D92" s="3">
        <v>18</v>
      </c>
      <c r="E92" s="3">
        <v>223</v>
      </c>
      <c r="F92" s="3">
        <v>1229.59102856498</v>
      </c>
      <c r="G92" s="3" t="s">
        <v>32</v>
      </c>
      <c r="H92" s="3">
        <v>32</v>
      </c>
      <c r="I92" s="3">
        <v>14</v>
      </c>
      <c r="J92" s="3">
        <v>22</v>
      </c>
      <c r="K92" s="3">
        <v>6</v>
      </c>
      <c r="L92" s="3" t="s">
        <v>138</v>
      </c>
      <c r="M92" s="3">
        <v>1.4543053101535499</v>
      </c>
      <c r="N92" s="3" t="s">
        <v>153</v>
      </c>
      <c r="O92" s="3" t="s">
        <v>145</v>
      </c>
      <c r="P92" s="3">
        <v>18</v>
      </c>
      <c r="Q92" s="3">
        <v>830</v>
      </c>
      <c r="R92" s="3">
        <v>5</v>
      </c>
      <c r="S92" s="3">
        <v>96.527352785310896</v>
      </c>
      <c r="T92" s="3" t="s">
        <v>47</v>
      </c>
      <c r="U92" s="3">
        <f t="shared" ref="U92:U95" si="2">E92*W92</f>
        <v>385.1910060233746</v>
      </c>
      <c r="V92" s="3">
        <v>1.7273139283559402E-2</v>
      </c>
      <c r="W92" s="3">
        <v>1.72731392835594</v>
      </c>
      <c r="X92" s="3" t="s">
        <v>27</v>
      </c>
      <c r="Y92" s="3" t="s">
        <v>141</v>
      </c>
      <c r="Z92">
        <v>0.11629801540398903</v>
      </c>
      <c r="AA92">
        <v>24</v>
      </c>
      <c r="AB92">
        <v>4030.5158885146147</v>
      </c>
    </row>
    <row r="93" spans="1:28" x14ac:dyDescent="0.35">
      <c r="A93" s="5" t="s">
        <v>23</v>
      </c>
      <c r="B93" s="8" t="s">
        <v>124</v>
      </c>
      <c r="C93" s="3">
        <v>80.414036650355698</v>
      </c>
      <c r="D93" s="3">
        <v>24</v>
      </c>
      <c r="E93" s="3">
        <v>79</v>
      </c>
      <c r="F93" s="3">
        <v>5133.8467010866898</v>
      </c>
      <c r="G93" s="3" t="s">
        <v>40</v>
      </c>
      <c r="H93" s="3">
        <v>5</v>
      </c>
      <c r="I93" s="3">
        <v>7</v>
      </c>
      <c r="J93" s="3">
        <v>55</v>
      </c>
      <c r="K93" s="3">
        <v>10</v>
      </c>
      <c r="L93" s="3" t="s">
        <v>137</v>
      </c>
      <c r="M93" s="3">
        <v>6.5758037975485299</v>
      </c>
      <c r="N93" s="3" t="s">
        <v>155</v>
      </c>
      <c r="O93" s="3" t="s">
        <v>145</v>
      </c>
      <c r="P93" s="3">
        <v>19</v>
      </c>
      <c r="Q93" s="3">
        <v>934</v>
      </c>
      <c r="R93" s="3">
        <v>23</v>
      </c>
      <c r="S93" s="3">
        <v>78.280383118415301</v>
      </c>
      <c r="T93" s="3" t="s">
        <v>26</v>
      </c>
      <c r="U93" s="3">
        <f t="shared" si="2"/>
        <v>299.98126615202023</v>
      </c>
      <c r="V93" s="3">
        <v>3.7972312171141803E-2</v>
      </c>
      <c r="W93" s="3">
        <v>3.79723121711418</v>
      </c>
      <c r="X93" s="3" t="s">
        <v>27</v>
      </c>
      <c r="Y93" s="3" t="s">
        <v>141</v>
      </c>
      <c r="Z93">
        <v>8.3811973360187683E-2</v>
      </c>
      <c r="AA93">
        <v>29</v>
      </c>
      <c r="AB93">
        <v>2292.679728696045</v>
      </c>
    </row>
    <row r="94" spans="1:28" x14ac:dyDescent="0.35">
      <c r="A94" s="5" t="s">
        <v>42</v>
      </c>
      <c r="B94" s="8" t="s">
        <v>125</v>
      </c>
      <c r="C94" s="3">
        <v>75.270406975724995</v>
      </c>
      <c r="D94" s="3">
        <v>58</v>
      </c>
      <c r="E94" s="3">
        <v>737</v>
      </c>
      <c r="F94" s="3">
        <v>9444.7420330629793</v>
      </c>
      <c r="G94" s="3" t="s">
        <v>40</v>
      </c>
      <c r="H94" s="3">
        <v>60</v>
      </c>
      <c r="I94" s="3">
        <v>18</v>
      </c>
      <c r="J94" s="3">
        <v>85</v>
      </c>
      <c r="K94" s="3">
        <v>7</v>
      </c>
      <c r="L94" s="3" t="s">
        <v>137</v>
      </c>
      <c r="M94" s="3">
        <v>3.8012531329310701</v>
      </c>
      <c r="N94" s="3" t="s">
        <v>154</v>
      </c>
      <c r="O94" s="3" t="s">
        <v>144</v>
      </c>
      <c r="P94" s="3">
        <v>4</v>
      </c>
      <c r="Q94" s="3">
        <v>671</v>
      </c>
      <c r="R94" s="3">
        <v>29</v>
      </c>
      <c r="S94" s="3">
        <v>62.612690395614301</v>
      </c>
      <c r="T94" s="3" t="s">
        <v>47</v>
      </c>
      <c r="U94" s="3">
        <f t="shared" si="2"/>
        <v>245.73925519063266</v>
      </c>
      <c r="V94" s="3">
        <v>3.3343182522473903E-3</v>
      </c>
      <c r="W94" s="3">
        <v>0.33343182522473902</v>
      </c>
      <c r="X94" s="3" t="s">
        <v>36</v>
      </c>
      <c r="Y94" s="3" t="s">
        <v>141</v>
      </c>
      <c r="Z94">
        <v>9.3312504315371539E-2</v>
      </c>
      <c r="AA94">
        <v>11</v>
      </c>
      <c r="AB94">
        <v>1150.4639126838101</v>
      </c>
    </row>
    <row r="95" spans="1:28" x14ac:dyDescent="0.35">
      <c r="A95" s="5" t="s">
        <v>42</v>
      </c>
      <c r="B95" s="8" t="s">
        <v>126</v>
      </c>
      <c r="C95" s="3">
        <v>97.760085581938597</v>
      </c>
      <c r="D95" s="3">
        <v>10</v>
      </c>
      <c r="E95" s="3">
        <v>134</v>
      </c>
      <c r="F95" s="3">
        <v>5924.6825668532301</v>
      </c>
      <c r="G95" s="3" t="s">
        <v>32</v>
      </c>
      <c r="H95" s="3">
        <v>90</v>
      </c>
      <c r="I95" s="3">
        <v>1</v>
      </c>
      <c r="J95" s="3">
        <v>27</v>
      </c>
      <c r="K95" s="3">
        <v>8</v>
      </c>
      <c r="L95" s="3" t="s">
        <v>138</v>
      </c>
      <c r="M95" s="3">
        <v>9.9298162452772498</v>
      </c>
      <c r="N95" s="3" t="s">
        <v>153</v>
      </c>
      <c r="O95" s="3" t="s">
        <v>143</v>
      </c>
      <c r="P95" s="3">
        <v>24</v>
      </c>
      <c r="Q95" s="3">
        <v>589</v>
      </c>
      <c r="R95" s="3">
        <v>22</v>
      </c>
      <c r="S95" s="3">
        <v>33.808636513209002</v>
      </c>
      <c r="T95" s="3" t="s">
        <v>47</v>
      </c>
      <c r="U95" s="3">
        <f t="shared" si="2"/>
        <v>649.02318133381743</v>
      </c>
      <c r="V95" s="3">
        <v>4.8434565771180403E-2</v>
      </c>
      <c r="W95" s="3">
        <v>4.8434565771180402</v>
      </c>
      <c r="X95" s="3" t="s">
        <v>33</v>
      </c>
      <c r="Y95" s="3" t="s">
        <v>141</v>
      </c>
      <c r="Z95">
        <v>5.7400061991865876E-2</v>
      </c>
      <c r="AA95">
        <v>32</v>
      </c>
      <c r="AB95">
        <v>2327.2850298184349</v>
      </c>
    </row>
    <row r="96" spans="1:28" x14ac:dyDescent="0.35">
      <c r="A96" s="5" t="s">
        <v>28</v>
      </c>
      <c r="B96" s="8" t="s">
        <v>127</v>
      </c>
      <c r="C96" s="3">
        <v>13.881913501359101</v>
      </c>
      <c r="D96" s="3">
        <v>56</v>
      </c>
      <c r="E96" s="3">
        <v>320</v>
      </c>
      <c r="F96" s="3">
        <v>9592.6335702803099</v>
      </c>
      <c r="G96" s="3" t="s">
        <v>25</v>
      </c>
      <c r="H96" s="3">
        <v>66</v>
      </c>
      <c r="I96" s="3">
        <v>18</v>
      </c>
      <c r="J96" s="3">
        <v>96</v>
      </c>
      <c r="K96" s="3">
        <v>7</v>
      </c>
      <c r="L96" s="3" t="s">
        <v>138</v>
      </c>
      <c r="M96" s="3">
        <v>7.6744307081126903</v>
      </c>
      <c r="N96" s="3" t="s">
        <v>155</v>
      </c>
      <c r="O96" s="3" t="s">
        <v>146</v>
      </c>
      <c r="P96" s="3">
        <v>18</v>
      </c>
      <c r="Q96" s="3">
        <v>396</v>
      </c>
      <c r="R96" s="3">
        <v>7</v>
      </c>
      <c r="S96" s="3">
        <v>65.047415094691402</v>
      </c>
      <c r="T96" s="3" t="s">
        <v>35</v>
      </c>
      <c r="U96" s="3">
        <f t="shared" si="1"/>
        <v>553.71991035494079</v>
      </c>
      <c r="V96" s="3">
        <v>1.7303747198591898E-2</v>
      </c>
      <c r="W96" s="3">
        <v>1.7303747198591899</v>
      </c>
      <c r="X96" s="3" t="s">
        <v>27</v>
      </c>
      <c r="Y96" s="3" t="s">
        <v>141</v>
      </c>
      <c r="Z96">
        <v>0.16426114922901869</v>
      </c>
      <c r="AA96">
        <v>25</v>
      </c>
      <c r="AB96">
        <v>551.82167615681999</v>
      </c>
    </row>
    <row r="97" spans="1:28" x14ac:dyDescent="0.35">
      <c r="A97" s="5" t="s">
        <v>42</v>
      </c>
      <c r="B97" s="8" t="s">
        <v>128</v>
      </c>
      <c r="C97" s="3">
        <v>62.111965463961702</v>
      </c>
      <c r="D97" s="3">
        <v>90</v>
      </c>
      <c r="E97" s="3">
        <v>916</v>
      </c>
      <c r="F97" s="3">
        <v>1935.20679350759</v>
      </c>
      <c r="G97" s="3" t="s">
        <v>40</v>
      </c>
      <c r="H97" s="3">
        <v>98</v>
      </c>
      <c r="I97" s="3">
        <v>22</v>
      </c>
      <c r="J97" s="3">
        <v>85</v>
      </c>
      <c r="K97" s="3">
        <v>7</v>
      </c>
      <c r="L97" s="3" t="s">
        <v>138</v>
      </c>
      <c r="M97" s="3">
        <v>7.4715140844011403</v>
      </c>
      <c r="N97" s="3" t="s">
        <v>156</v>
      </c>
      <c r="O97" s="3" t="s">
        <v>145</v>
      </c>
      <c r="P97" s="3">
        <v>30</v>
      </c>
      <c r="Q97" s="3">
        <v>791</v>
      </c>
      <c r="R97" s="3">
        <v>6</v>
      </c>
      <c r="S97" s="3">
        <v>9.0058074287816403</v>
      </c>
      <c r="T97" s="3" t="s">
        <v>35</v>
      </c>
      <c r="U97" s="3">
        <f t="shared" si="1"/>
        <v>1330.0065388610778</v>
      </c>
      <c r="V97" s="3">
        <v>1.4519722039968099E-2</v>
      </c>
      <c r="W97" s="3">
        <v>1.4519722039968099</v>
      </c>
      <c r="X97" s="3" t="s">
        <v>33</v>
      </c>
      <c r="Y97" s="3" t="s">
        <v>141</v>
      </c>
      <c r="Z97">
        <v>1.1385344410596259E-2</v>
      </c>
      <c r="AA97">
        <v>37</v>
      </c>
      <c r="AB97">
        <v>3268.3649727601646</v>
      </c>
    </row>
    <row r="98" spans="1:28" x14ac:dyDescent="0.35">
      <c r="A98" s="5" t="s">
        <v>42</v>
      </c>
      <c r="B98" s="8" t="s">
        <v>129</v>
      </c>
      <c r="C98" s="3">
        <v>47.714233075820196</v>
      </c>
      <c r="D98" s="3">
        <v>44</v>
      </c>
      <c r="E98" s="3">
        <v>276</v>
      </c>
      <c r="F98" s="3">
        <v>2100.1297546259302</v>
      </c>
      <c r="G98" s="3" t="s">
        <v>40</v>
      </c>
      <c r="H98" s="3">
        <v>90</v>
      </c>
      <c r="I98" s="3">
        <v>25</v>
      </c>
      <c r="J98" s="3">
        <v>10</v>
      </c>
      <c r="K98" s="3">
        <v>8</v>
      </c>
      <c r="L98" s="3" t="s">
        <v>138</v>
      </c>
      <c r="M98" s="3">
        <v>4.4695000261236002</v>
      </c>
      <c r="N98" s="3" t="s">
        <v>154</v>
      </c>
      <c r="O98" s="3" t="s">
        <v>146</v>
      </c>
      <c r="P98" s="3">
        <v>5</v>
      </c>
      <c r="Q98" s="3">
        <v>207</v>
      </c>
      <c r="R98" s="3">
        <v>28</v>
      </c>
      <c r="S98" s="3">
        <v>39.772882502339897</v>
      </c>
      <c r="T98" s="3" t="s">
        <v>26</v>
      </c>
      <c r="U98" s="3">
        <f t="shared" si="1"/>
        <v>172.77651286579274</v>
      </c>
      <c r="V98" s="3">
        <v>6.2600185820939399E-3</v>
      </c>
      <c r="W98" s="3">
        <v>0.62600185820939402</v>
      </c>
      <c r="X98" s="3" t="s">
        <v>36</v>
      </c>
      <c r="Y98" s="3" t="s">
        <v>141</v>
      </c>
      <c r="Z98">
        <v>0.19213952899681111</v>
      </c>
      <c r="AA98">
        <v>13</v>
      </c>
      <c r="AB98">
        <v>4983.8915747531146</v>
      </c>
    </row>
    <row r="99" spans="1:28" x14ac:dyDescent="0.35">
      <c r="A99" s="5" t="s">
        <v>23</v>
      </c>
      <c r="B99" s="8" t="s">
        <v>130</v>
      </c>
      <c r="C99" s="3">
        <v>69.290831002905406</v>
      </c>
      <c r="D99" s="3">
        <v>88</v>
      </c>
      <c r="E99" s="3">
        <v>114</v>
      </c>
      <c r="F99" s="3">
        <v>4531.4021336919004</v>
      </c>
      <c r="G99" s="3" t="s">
        <v>32</v>
      </c>
      <c r="H99" s="3">
        <v>63</v>
      </c>
      <c r="I99" s="3">
        <v>17</v>
      </c>
      <c r="J99" s="3">
        <v>66</v>
      </c>
      <c r="K99" s="3">
        <v>1</v>
      </c>
      <c r="L99" s="3" t="s">
        <v>139</v>
      </c>
      <c r="M99" s="3">
        <v>7.00643205900439</v>
      </c>
      <c r="N99" s="3" t="s">
        <v>156</v>
      </c>
      <c r="O99" s="3" t="s">
        <v>143</v>
      </c>
      <c r="P99" s="3">
        <v>25</v>
      </c>
      <c r="Q99" s="3">
        <v>759</v>
      </c>
      <c r="R99" s="3">
        <v>11</v>
      </c>
      <c r="S99" s="3">
        <v>48.064782640006499</v>
      </c>
      <c r="T99" s="3" t="s">
        <v>47</v>
      </c>
      <c r="U99" s="3">
        <f t="shared" si="1"/>
        <v>231.42787610823748</v>
      </c>
      <c r="V99" s="3">
        <v>2.0300690886687497E-2</v>
      </c>
      <c r="W99" s="3">
        <v>2.0300690886687498</v>
      </c>
      <c r="X99" s="3" t="s">
        <v>33</v>
      </c>
      <c r="Y99" s="3" t="s">
        <v>142</v>
      </c>
      <c r="Z99">
        <v>6.3326459341247032E-2</v>
      </c>
      <c r="AA99">
        <v>26</v>
      </c>
      <c r="AB99">
        <v>4365.6482400882551</v>
      </c>
    </row>
    <row r="100" spans="1:28" x14ac:dyDescent="0.35">
      <c r="A100" s="5" t="s">
        <v>42</v>
      </c>
      <c r="B100" s="8" t="s">
        <v>131</v>
      </c>
      <c r="C100" s="3">
        <v>3.0376887246314102</v>
      </c>
      <c r="D100" s="3">
        <v>97</v>
      </c>
      <c r="E100" s="3">
        <v>987</v>
      </c>
      <c r="F100" s="3">
        <v>7888.3565466618702</v>
      </c>
      <c r="G100" s="3" t="s">
        <v>32</v>
      </c>
      <c r="H100" s="3">
        <v>77</v>
      </c>
      <c r="I100" s="3">
        <v>26</v>
      </c>
      <c r="J100" s="3">
        <v>72</v>
      </c>
      <c r="K100" s="3">
        <v>9</v>
      </c>
      <c r="L100" s="3" t="s">
        <v>138</v>
      </c>
      <c r="M100" s="3">
        <v>6.9429459420325799</v>
      </c>
      <c r="N100" s="3" t="s">
        <v>154</v>
      </c>
      <c r="O100" s="3" t="s">
        <v>147</v>
      </c>
      <c r="P100" s="3">
        <v>26</v>
      </c>
      <c r="Q100" s="3">
        <v>179</v>
      </c>
      <c r="R100" s="3">
        <v>7</v>
      </c>
      <c r="S100" s="3">
        <v>96.422820639571796</v>
      </c>
      <c r="T100" s="3" t="s">
        <v>35</v>
      </c>
      <c r="U100" s="3">
        <f t="shared" si="1"/>
        <v>4875.0449698688672</v>
      </c>
      <c r="V100" s="3">
        <v>4.9392552886209397E-2</v>
      </c>
      <c r="W100" s="3">
        <v>4.9392552886209398</v>
      </c>
      <c r="X100" s="3" t="s">
        <v>27</v>
      </c>
      <c r="Y100" s="3" t="s">
        <v>140</v>
      </c>
      <c r="Z100">
        <v>0.53867497564006595</v>
      </c>
      <c r="AA100">
        <v>35</v>
      </c>
      <c r="AB100">
        <v>3178.285602509955</v>
      </c>
    </row>
    <row r="101" spans="1:28" x14ac:dyDescent="0.35">
      <c r="A101" s="5" t="s">
        <v>23</v>
      </c>
      <c r="B101" s="8" t="s">
        <v>132</v>
      </c>
      <c r="C101" s="3">
        <v>77.903927219447695</v>
      </c>
      <c r="D101" s="3">
        <v>65</v>
      </c>
      <c r="E101" s="3">
        <v>672</v>
      </c>
      <c r="F101" s="3">
        <v>7386.3639440486604</v>
      </c>
      <c r="G101" s="3" t="s">
        <v>32</v>
      </c>
      <c r="H101" s="3">
        <v>15</v>
      </c>
      <c r="I101" s="3">
        <v>14</v>
      </c>
      <c r="J101" s="3">
        <v>26</v>
      </c>
      <c r="K101" s="3">
        <v>9</v>
      </c>
      <c r="L101" s="3" t="s">
        <v>138</v>
      </c>
      <c r="M101" s="3">
        <v>8.6303388696027508</v>
      </c>
      <c r="N101" s="3" t="s">
        <v>156</v>
      </c>
      <c r="O101" s="3" t="s">
        <v>145</v>
      </c>
      <c r="P101" s="3">
        <v>9</v>
      </c>
      <c r="Q101" s="3">
        <v>862</v>
      </c>
      <c r="R101" s="3">
        <v>7</v>
      </c>
      <c r="S101" s="3">
        <v>77.627765812748095</v>
      </c>
      <c r="T101" s="3" t="s">
        <v>26</v>
      </c>
      <c r="U101" s="3">
        <f t="shared" si="1"/>
        <v>915.52472837219511</v>
      </c>
      <c r="V101" s="3">
        <v>1.3623879886490999E-2</v>
      </c>
      <c r="W101" s="3">
        <v>1.3623879886490999</v>
      </c>
      <c r="X101" s="3" t="s">
        <v>33</v>
      </c>
      <c r="Y101" s="3" t="s">
        <v>140</v>
      </c>
      <c r="Z101">
        <v>9.0055412775809848E-2</v>
      </c>
      <c r="AA101">
        <v>18</v>
      </c>
      <c r="AB101">
        <v>1038.316031042875</v>
      </c>
    </row>
    <row r="102" spans="1:28" x14ac:dyDescent="0.35">
      <c r="A102" s="5" t="s">
        <v>42</v>
      </c>
      <c r="B102" s="8" t="s">
        <v>133</v>
      </c>
      <c r="C102" s="3">
        <v>24.423131420373299</v>
      </c>
      <c r="D102" s="3">
        <v>29</v>
      </c>
      <c r="E102" s="3">
        <v>324</v>
      </c>
      <c r="F102" s="3">
        <v>7698.4247656321104</v>
      </c>
      <c r="G102" s="3" t="s">
        <v>25</v>
      </c>
      <c r="H102" s="3">
        <v>67</v>
      </c>
      <c r="I102" s="3">
        <v>2</v>
      </c>
      <c r="J102" s="3">
        <v>32</v>
      </c>
      <c r="K102" s="3">
        <v>3</v>
      </c>
      <c r="L102" s="3" t="s">
        <v>139</v>
      </c>
      <c r="M102" s="3">
        <v>5.3528780439967996</v>
      </c>
      <c r="N102" s="3" t="s">
        <v>155</v>
      </c>
      <c r="O102" s="3" t="s">
        <v>146</v>
      </c>
      <c r="P102" s="3">
        <v>21</v>
      </c>
      <c r="Q102" s="3">
        <v>588</v>
      </c>
      <c r="R102" s="3">
        <v>25</v>
      </c>
      <c r="S102" s="3">
        <v>67.779622987078099</v>
      </c>
      <c r="T102" s="3" t="s">
        <v>26</v>
      </c>
      <c r="U102" s="3">
        <f t="shared" si="1"/>
        <v>813.62064498891482</v>
      </c>
      <c r="V102" s="3">
        <v>2.5111748302127E-2</v>
      </c>
      <c r="W102" s="3">
        <v>2.5111748302126999</v>
      </c>
      <c r="X102" s="3" t="s">
        <v>36</v>
      </c>
      <c r="Y102" s="3" t="s">
        <v>140</v>
      </c>
      <c r="Z102">
        <v>0.11527146766509881</v>
      </c>
      <c r="AA102">
        <v>24</v>
      </c>
      <c r="AB102">
        <v>2410.9561930126401</v>
      </c>
    </row>
    <row r="103" spans="1:28" x14ac:dyDescent="0.35">
      <c r="A103" s="5" t="s">
        <v>23</v>
      </c>
      <c r="B103" s="8" t="s">
        <v>134</v>
      </c>
      <c r="C103" s="3">
        <v>3.5261112591434101</v>
      </c>
      <c r="D103" s="3">
        <v>56</v>
      </c>
      <c r="E103" s="3">
        <v>62</v>
      </c>
      <c r="F103" s="3">
        <v>4370.9165799845296</v>
      </c>
      <c r="G103" s="3" t="s">
        <v>40</v>
      </c>
      <c r="H103" s="3">
        <v>46</v>
      </c>
      <c r="I103" s="3">
        <v>19</v>
      </c>
      <c r="J103" s="3">
        <v>4</v>
      </c>
      <c r="K103" s="3">
        <v>9</v>
      </c>
      <c r="L103" s="3" t="s">
        <v>137</v>
      </c>
      <c r="M103" s="3">
        <v>7.9048456112096703</v>
      </c>
      <c r="N103" s="3" t="s">
        <v>156</v>
      </c>
      <c r="O103" s="3" t="s">
        <v>144</v>
      </c>
      <c r="P103" s="3">
        <v>25</v>
      </c>
      <c r="Q103" s="3">
        <v>858</v>
      </c>
      <c r="R103" s="3">
        <v>21</v>
      </c>
      <c r="S103" s="3">
        <v>71.126514720403307</v>
      </c>
      <c r="T103" s="3" t="s">
        <v>26</v>
      </c>
      <c r="U103" s="3">
        <f t="shared" si="1"/>
        <v>254.00664261316791</v>
      </c>
      <c r="V103" s="3">
        <v>4.0968813324704499E-2</v>
      </c>
      <c r="W103" s="3">
        <v>4.0968813324704501</v>
      </c>
      <c r="X103" s="3" t="s">
        <v>41</v>
      </c>
      <c r="Y103" s="3" t="s">
        <v>142</v>
      </c>
      <c r="Z103">
        <v>8.2898035804665857E-2</v>
      </c>
      <c r="AA103">
        <v>34</v>
      </c>
      <c r="AB103">
        <v>1617.9610171566101</v>
      </c>
    </row>
    <row r="104" spans="1:28" x14ac:dyDescent="0.35">
      <c r="A104" s="5" t="s">
        <v>28</v>
      </c>
      <c r="B104" s="8" t="s">
        <v>135</v>
      </c>
      <c r="C104" s="3">
        <v>19.754604866878601</v>
      </c>
      <c r="D104" s="3">
        <v>43</v>
      </c>
      <c r="E104" s="3">
        <v>913</v>
      </c>
      <c r="F104" s="3">
        <v>8525.9525596835192</v>
      </c>
      <c r="G104" s="3" t="s">
        <v>30</v>
      </c>
      <c r="H104" s="3">
        <v>53</v>
      </c>
      <c r="I104" s="3">
        <v>1</v>
      </c>
      <c r="J104" s="3">
        <v>27</v>
      </c>
      <c r="K104" s="3">
        <v>7</v>
      </c>
      <c r="L104" s="3" t="s">
        <v>138</v>
      </c>
      <c r="M104" s="3">
        <v>1.4098010951380699</v>
      </c>
      <c r="N104" s="3" t="s">
        <v>157</v>
      </c>
      <c r="O104" s="3" t="s">
        <v>144</v>
      </c>
      <c r="P104" s="3">
        <v>4</v>
      </c>
      <c r="Q104" s="3">
        <v>569</v>
      </c>
      <c r="R104" s="3">
        <v>18</v>
      </c>
      <c r="S104" s="3">
        <v>74.608969995194599</v>
      </c>
      <c r="T104" s="3" t="s">
        <v>47</v>
      </c>
      <c r="U104" s="3">
        <f t="shared" si="1"/>
        <v>1873.0313057895769</v>
      </c>
      <c r="V104" s="3">
        <v>2.0515129307662399E-2</v>
      </c>
      <c r="W104" s="3">
        <v>2.0515129307662399</v>
      </c>
      <c r="X104" s="3" t="s">
        <v>36</v>
      </c>
      <c r="Y104" s="3" t="s">
        <v>140</v>
      </c>
      <c r="Z104">
        <v>0.13112297011457749</v>
      </c>
      <c r="AA104">
        <v>11</v>
      </c>
      <c r="AB104">
        <v>1321.2744491793298</v>
      </c>
    </row>
    <row r="105" spans="1:28" x14ac:dyDescent="0.35">
      <c r="A105" s="5" t="s">
        <v>23</v>
      </c>
      <c r="B105" s="8" t="s">
        <v>136</v>
      </c>
      <c r="C105" s="3">
        <v>68.517832699276596</v>
      </c>
      <c r="D105" s="3">
        <v>17</v>
      </c>
      <c r="E105" s="3">
        <v>627</v>
      </c>
      <c r="F105" s="3">
        <v>9185.1858291817007</v>
      </c>
      <c r="G105" s="3" t="s">
        <v>32</v>
      </c>
      <c r="H105" s="3">
        <v>55</v>
      </c>
      <c r="I105" s="3">
        <v>8</v>
      </c>
      <c r="J105" s="3">
        <v>59</v>
      </c>
      <c r="K105" s="3">
        <v>6</v>
      </c>
      <c r="L105" s="3" t="s">
        <v>138</v>
      </c>
      <c r="M105" s="3">
        <v>1.3110237561206199</v>
      </c>
      <c r="N105" s="3" t="s">
        <v>154</v>
      </c>
      <c r="O105" s="3" t="s">
        <v>145</v>
      </c>
      <c r="P105" s="3">
        <v>11</v>
      </c>
      <c r="Q105" s="3">
        <v>176</v>
      </c>
      <c r="R105" s="3">
        <v>4</v>
      </c>
      <c r="S105" s="3">
        <v>1.90076224351945</v>
      </c>
      <c r="T105" s="3" t="s">
        <v>35</v>
      </c>
      <c r="U105" s="3">
        <f t="shared" si="1"/>
        <v>280.39064769581699</v>
      </c>
      <c r="V105" s="3">
        <v>4.4719401546382299E-3</v>
      </c>
      <c r="W105" s="3">
        <v>0.44719401546382298</v>
      </c>
      <c r="X105" s="3" t="s">
        <v>33</v>
      </c>
      <c r="Y105" s="3" t="s">
        <v>140</v>
      </c>
      <c r="Z105">
        <v>1.079978547454233E-2</v>
      </c>
      <c r="AA105">
        <v>17</v>
      </c>
      <c r="AB105">
        <v>1562.8713680504648</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01"/>
  <sheetViews>
    <sheetView topLeftCell="Y1" zoomScale="110" workbookViewId="0">
      <pane ySplit="1" topLeftCell="A78" activePane="bottomLeft" state="frozen"/>
      <selection activeCell="A21" sqref="A21"/>
      <selection pane="bottomLeft" activeCell="A21" sqref="A21"/>
    </sheetView>
  </sheetViews>
  <sheetFormatPr defaultRowHeight="14.5" x14ac:dyDescent="0.35"/>
  <cols>
    <col min="1" max="1" width="19.54296875" style="6" customWidth="1"/>
    <col min="2" max="2" width="11.26953125" style="9" customWidth="1"/>
    <col min="3" max="6" width="23.90625" customWidth="1"/>
    <col min="7" max="7" width="16.54296875" customWidth="1"/>
    <col min="8" max="8" width="25.7265625" customWidth="1"/>
    <col min="9" max="9" width="20.54296875" customWidth="1"/>
    <col min="10" max="10" width="27.81640625" customWidth="1"/>
    <col min="11" max="11" width="19.90625" customWidth="1"/>
    <col min="12" max="12" width="17" customWidth="1"/>
    <col min="13" max="13" width="17.7265625" customWidth="1"/>
    <col min="14" max="14" width="26" customWidth="1"/>
    <col min="15" max="15" width="25.26953125" customWidth="1"/>
    <col min="16" max="16" width="21.54296875" customWidth="1"/>
    <col min="17" max="17" width="25.26953125" customWidth="1"/>
    <col min="18" max="18" width="23.26953125" customWidth="1"/>
    <col min="19" max="19" width="17.54296875" customWidth="1"/>
    <col min="20" max="20" width="19.7265625" customWidth="1"/>
    <col min="21" max="21" width="23.7265625" customWidth="1"/>
    <col min="22" max="22" width="21.26953125" customWidth="1"/>
    <col min="23" max="25" width="19.54296875" customWidth="1"/>
    <col min="26" max="26" width="18.26953125" customWidth="1"/>
    <col min="27" max="27" width="21.7265625" customWidth="1"/>
    <col min="28" max="28" width="24" customWidth="1"/>
    <col min="29" max="29" width="15.26953125" customWidth="1"/>
  </cols>
  <sheetData>
    <row r="1" spans="1:33" s="1" customFormat="1" x14ac:dyDescent="0.35">
      <c r="A1" s="4" t="s">
        <v>0</v>
      </c>
      <c r="B1" s="7" t="s">
        <v>1</v>
      </c>
      <c r="C1" s="2" t="s">
        <v>2</v>
      </c>
      <c r="D1" s="2" t="s">
        <v>148</v>
      </c>
      <c r="E1" s="2" t="s">
        <v>149</v>
      </c>
      <c r="F1" s="2" t="s">
        <v>150</v>
      </c>
      <c r="G1" s="2" t="s">
        <v>3</v>
      </c>
      <c r="H1" s="2" t="s">
        <v>4</v>
      </c>
      <c r="I1" s="2" t="s">
        <v>5</v>
      </c>
      <c r="J1" s="2" t="s">
        <v>6</v>
      </c>
      <c r="K1" s="2" t="s">
        <v>7</v>
      </c>
      <c r="L1" s="2" t="s">
        <v>8</v>
      </c>
      <c r="M1" s="2" t="s">
        <v>9</v>
      </c>
      <c r="N1" s="2" t="s">
        <v>10</v>
      </c>
      <c r="O1" s="2" t="s">
        <v>11</v>
      </c>
      <c r="P1" s="2" t="s">
        <v>12</v>
      </c>
      <c r="Q1" s="2" t="s">
        <v>13</v>
      </c>
      <c r="R1" s="2" t="s">
        <v>14</v>
      </c>
      <c r="S1" s="2" t="s">
        <v>15</v>
      </c>
      <c r="T1" s="2" t="s">
        <v>16</v>
      </c>
      <c r="U1" s="2" t="s">
        <v>17</v>
      </c>
      <c r="V1" s="2" t="s">
        <v>18</v>
      </c>
      <c r="W1" s="2" t="s">
        <v>19</v>
      </c>
      <c r="X1" s="2" t="s">
        <v>169</v>
      </c>
      <c r="Y1" s="2" t="s">
        <v>177</v>
      </c>
      <c r="Z1" s="2" t="s">
        <v>20</v>
      </c>
      <c r="AA1" s="2" t="s">
        <v>21</v>
      </c>
      <c r="AB1" s="2" t="s">
        <v>22</v>
      </c>
      <c r="AC1" s="1" t="s">
        <v>151</v>
      </c>
      <c r="AD1" s="1" t="s">
        <v>152</v>
      </c>
      <c r="AE1" s="1" t="s">
        <v>173</v>
      </c>
      <c r="AF1" s="1" t="s">
        <v>172</v>
      </c>
      <c r="AG1" s="1" t="s">
        <v>174</v>
      </c>
    </row>
    <row r="2" spans="1:33" x14ac:dyDescent="0.35">
      <c r="A2" s="5" t="s">
        <v>23</v>
      </c>
      <c r="B2" s="8" t="s">
        <v>24</v>
      </c>
      <c r="C2" s="3">
        <v>69.808005542115694</v>
      </c>
      <c r="D2" s="3">
        <v>55986.02044477679</v>
      </c>
      <c r="E2" s="3">
        <v>47324.023652384407</v>
      </c>
      <c r="F2" s="3" t="str">
        <f>IF(E2 &gt; 0, "Discount Applied", "Premium Markup")</f>
        <v>Discount Applied</v>
      </c>
      <c r="G2" s="3">
        <v>55</v>
      </c>
      <c r="H2" s="3">
        <v>802</v>
      </c>
      <c r="I2" s="3">
        <v>8661.9967923923796</v>
      </c>
      <c r="J2" s="3" t="s">
        <v>25</v>
      </c>
      <c r="K2" s="3">
        <v>58</v>
      </c>
      <c r="L2" s="3">
        <v>7</v>
      </c>
      <c r="M2" s="3">
        <v>96</v>
      </c>
      <c r="N2" s="3">
        <v>4</v>
      </c>
      <c r="O2" s="3" t="s">
        <v>138</v>
      </c>
      <c r="P2" s="3">
        <v>2.9565721394308002</v>
      </c>
      <c r="Q2" s="3" t="s">
        <v>155</v>
      </c>
      <c r="R2" s="3" t="s">
        <v>147</v>
      </c>
      <c r="S2" s="3">
        <v>18</v>
      </c>
      <c r="T2" s="3">
        <v>673</v>
      </c>
      <c r="U2" s="3">
        <v>28</v>
      </c>
      <c r="V2" s="3">
        <v>14.190328344569901</v>
      </c>
      <c r="W2" s="3" t="s">
        <v>26</v>
      </c>
      <c r="X2" s="3">
        <f>H2*Z2</f>
        <v>1421.906840011007</v>
      </c>
      <c r="Y2" s="3">
        <v>1.7729511720835499E-2</v>
      </c>
      <c r="Z2" s="3">
        <v>1.77295117208355</v>
      </c>
      <c r="AA2" s="3" t="s">
        <v>27</v>
      </c>
      <c r="AB2" s="3" t="s">
        <v>140</v>
      </c>
      <c r="AC2">
        <v>2.1085183275735365E-2</v>
      </c>
      <c r="AD2">
        <v>22</v>
      </c>
      <c r="AE2">
        <v>3474.9115878972248</v>
      </c>
      <c r="AF2">
        <v>5187.0852044951553</v>
      </c>
      <c r="AG2">
        <v>0.5988325011908161</v>
      </c>
    </row>
    <row r="3" spans="1:33" x14ac:dyDescent="0.35">
      <c r="A3" s="5" t="s">
        <v>28</v>
      </c>
      <c r="B3" s="8" t="s">
        <v>29</v>
      </c>
      <c r="C3" s="3">
        <v>14.8435232750843</v>
      </c>
      <c r="D3" s="3">
        <v>10924.833130462044</v>
      </c>
      <c r="E3" s="3">
        <v>3463.9330650162046</v>
      </c>
      <c r="F3" s="3" t="str">
        <f t="shared" ref="F3:F66" si="0">IF(E3 &gt; 0, "Discount Applied", "Premium Markup")</f>
        <v>Discount Applied</v>
      </c>
      <c r="G3" s="3">
        <v>95</v>
      </c>
      <c r="H3" s="3">
        <v>736</v>
      </c>
      <c r="I3" s="3">
        <v>7460.9000654458396</v>
      </c>
      <c r="J3" s="3" t="s">
        <v>30</v>
      </c>
      <c r="K3" s="3">
        <v>53</v>
      </c>
      <c r="L3" s="3">
        <v>30</v>
      </c>
      <c r="M3" s="3">
        <v>37</v>
      </c>
      <c r="N3" s="3">
        <v>2</v>
      </c>
      <c r="O3" s="3" t="s">
        <v>137</v>
      </c>
      <c r="P3" s="3">
        <v>9.7165747714313095</v>
      </c>
      <c r="Q3" s="3" t="s">
        <v>155</v>
      </c>
      <c r="R3" s="3" t="s">
        <v>144</v>
      </c>
      <c r="S3" s="3">
        <v>10</v>
      </c>
      <c r="T3" s="3">
        <v>841</v>
      </c>
      <c r="U3" s="3">
        <v>12</v>
      </c>
      <c r="V3" s="3">
        <v>5.9306936455283097</v>
      </c>
      <c r="W3" s="3" t="s">
        <v>26</v>
      </c>
      <c r="X3" s="3">
        <f t="shared" ref="X3:X66" si="1">H3*Z3</f>
        <v>451.40859778507718</v>
      </c>
      <c r="Y3" s="3">
        <v>6.1332689916450698E-3</v>
      </c>
      <c r="Z3" s="3">
        <v>0.613326899164507</v>
      </c>
      <c r="AA3" s="3" t="s">
        <v>33</v>
      </c>
      <c r="AB3" s="3" t="s">
        <v>141</v>
      </c>
      <c r="AC3">
        <v>7.051954394207265E-3</v>
      </c>
      <c r="AD3">
        <v>12</v>
      </c>
      <c r="AE3">
        <v>1698.3643497430298</v>
      </c>
      <c r="AF3">
        <v>5762.5357157028102</v>
      </c>
      <c r="AG3">
        <v>0.7723646832359039</v>
      </c>
    </row>
    <row r="4" spans="1:33" x14ac:dyDescent="0.35">
      <c r="A4" s="5" t="s">
        <v>23</v>
      </c>
      <c r="B4" s="8" t="s">
        <v>31</v>
      </c>
      <c r="C4" s="3">
        <v>11.319683293090501</v>
      </c>
      <c r="D4" s="3">
        <v>90.557466344724006</v>
      </c>
      <c r="E4" s="3">
        <v>-9487.1921595240055</v>
      </c>
      <c r="F4" s="3" t="str">
        <f t="shared" si="0"/>
        <v>Premium Markup</v>
      </c>
      <c r="G4" s="3">
        <v>34</v>
      </c>
      <c r="H4" s="3">
        <v>8</v>
      </c>
      <c r="I4" s="3">
        <v>9577.7496258687297</v>
      </c>
      <c r="J4" s="3" t="s">
        <v>32</v>
      </c>
      <c r="K4" s="3">
        <v>1</v>
      </c>
      <c r="L4" s="3">
        <v>10</v>
      </c>
      <c r="M4" s="3">
        <v>88</v>
      </c>
      <c r="N4" s="3">
        <v>2</v>
      </c>
      <c r="O4" s="3" t="s">
        <v>138</v>
      </c>
      <c r="P4" s="3">
        <v>8.0544792617321495</v>
      </c>
      <c r="Q4" s="3" t="s">
        <v>153</v>
      </c>
      <c r="R4" s="3" t="s">
        <v>143</v>
      </c>
      <c r="S4" s="3">
        <v>24</v>
      </c>
      <c r="T4" s="3">
        <v>461</v>
      </c>
      <c r="U4" s="3">
        <v>8</v>
      </c>
      <c r="V4" s="3">
        <v>60.251145661598002</v>
      </c>
      <c r="W4" s="3" t="s">
        <v>26</v>
      </c>
      <c r="X4" s="3">
        <f t="shared" si="1"/>
        <v>23.912000053240561</v>
      </c>
      <c r="Y4" s="3">
        <v>2.9890000066550702E-2</v>
      </c>
      <c r="Z4" s="3">
        <v>2.9890000066550702</v>
      </c>
      <c r="AA4" s="3" t="s">
        <v>36</v>
      </c>
      <c r="AB4" s="3" t="s">
        <v>142</v>
      </c>
      <c r="AC4">
        <v>0.13069662833318438</v>
      </c>
      <c r="AD4">
        <v>26</v>
      </c>
      <c r="AE4">
        <v>3046.89603309213</v>
      </c>
      <c r="AF4">
        <v>6530.8535927765997</v>
      </c>
      <c r="AG4">
        <v>0.68187766937833605</v>
      </c>
    </row>
    <row r="5" spans="1:33" x14ac:dyDescent="0.35">
      <c r="A5" s="5" t="s">
        <v>28</v>
      </c>
      <c r="B5" s="8" t="s">
        <v>34</v>
      </c>
      <c r="C5" s="3">
        <v>61.1633430164377</v>
      </c>
      <c r="D5" s="3">
        <v>5076.5574703643288</v>
      </c>
      <c r="E5" s="3">
        <v>-2690.2789553209013</v>
      </c>
      <c r="F5" s="3" t="str">
        <f t="shared" si="0"/>
        <v>Premium Markup</v>
      </c>
      <c r="G5" s="3">
        <v>68</v>
      </c>
      <c r="H5" s="3">
        <v>83</v>
      </c>
      <c r="I5" s="3">
        <v>7766.8364256852301</v>
      </c>
      <c r="J5" s="3" t="s">
        <v>25</v>
      </c>
      <c r="K5" s="3">
        <v>23</v>
      </c>
      <c r="L5" s="3">
        <v>13</v>
      </c>
      <c r="M5" s="3">
        <v>59</v>
      </c>
      <c r="N5" s="3">
        <v>6</v>
      </c>
      <c r="O5" s="3" t="s">
        <v>139</v>
      </c>
      <c r="P5" s="3">
        <v>1.7295685635434199</v>
      </c>
      <c r="Q5" s="3" t="s">
        <v>157</v>
      </c>
      <c r="R5" s="3" t="s">
        <v>144</v>
      </c>
      <c r="S5" s="3">
        <v>12</v>
      </c>
      <c r="T5" s="3">
        <v>971</v>
      </c>
      <c r="U5" s="3">
        <v>27</v>
      </c>
      <c r="V5" s="3">
        <v>30.6880193482842</v>
      </c>
      <c r="W5" s="3" t="s">
        <v>26</v>
      </c>
      <c r="X5" s="3">
        <f t="shared" si="1"/>
        <v>380.18918739353529</v>
      </c>
      <c r="Y5" s="3">
        <v>4.5805926191992204E-2</v>
      </c>
      <c r="Z5" s="3">
        <v>4.5805926191992201</v>
      </c>
      <c r="AA5" s="3" t="s">
        <v>33</v>
      </c>
      <c r="AB5" s="3" t="s">
        <v>142</v>
      </c>
      <c r="AC5">
        <v>3.160455133705891E-2</v>
      </c>
      <c r="AD5">
        <v>18</v>
      </c>
      <c r="AE5">
        <v>709.60140885759506</v>
      </c>
      <c r="AF5">
        <v>7057.2350168276353</v>
      </c>
      <c r="AG5">
        <v>0.90863700869109132</v>
      </c>
    </row>
    <row r="6" spans="1:33" x14ac:dyDescent="0.35">
      <c r="A6" s="5" t="s">
        <v>28</v>
      </c>
      <c r="B6" s="8" t="s">
        <v>37</v>
      </c>
      <c r="C6" s="3">
        <v>4.8054960363458896</v>
      </c>
      <c r="D6" s="3">
        <v>4185.58704765727</v>
      </c>
      <c r="E6" s="3">
        <v>1499.08189608983</v>
      </c>
      <c r="F6" s="3" t="str">
        <f t="shared" si="0"/>
        <v>Discount Applied</v>
      </c>
      <c r="G6" s="3">
        <v>26</v>
      </c>
      <c r="H6" s="3">
        <v>871</v>
      </c>
      <c r="I6" s="3">
        <v>2686.50515156744</v>
      </c>
      <c r="J6" s="3" t="s">
        <v>25</v>
      </c>
      <c r="K6" s="3">
        <v>5</v>
      </c>
      <c r="L6" s="3">
        <v>3</v>
      </c>
      <c r="M6" s="3">
        <v>56</v>
      </c>
      <c r="N6" s="3">
        <v>8</v>
      </c>
      <c r="O6" s="3" t="s">
        <v>137</v>
      </c>
      <c r="P6" s="3">
        <v>3.8905479158706702</v>
      </c>
      <c r="Q6" s="3" t="s">
        <v>153</v>
      </c>
      <c r="R6" s="3" t="s">
        <v>145</v>
      </c>
      <c r="S6" s="3">
        <v>30</v>
      </c>
      <c r="T6" s="3">
        <v>737</v>
      </c>
      <c r="U6" s="3">
        <v>7</v>
      </c>
      <c r="V6" s="3">
        <v>29.6924671537497</v>
      </c>
      <c r="W6" s="3" t="s">
        <v>47</v>
      </c>
      <c r="X6" s="3">
        <f t="shared" si="1"/>
        <v>1694.9974599853017</v>
      </c>
      <c r="Y6" s="3">
        <v>1.94603611938611E-2</v>
      </c>
      <c r="Z6" s="3">
        <v>1.94603611938611</v>
      </c>
      <c r="AA6" s="3" t="s">
        <v>27</v>
      </c>
      <c r="AB6" s="3" t="s">
        <v>140</v>
      </c>
      <c r="AC6">
        <v>4.0288286504409361E-2</v>
      </c>
      <c r="AD6">
        <v>38</v>
      </c>
      <c r="AE6">
        <v>3805.8695475743848</v>
      </c>
      <c r="AF6">
        <v>-1119.3643960069448</v>
      </c>
      <c r="AG6">
        <v>-0.41666192054530488</v>
      </c>
    </row>
    <row r="7" spans="1:33" x14ac:dyDescent="0.35">
      <c r="A7" s="5" t="s">
        <v>23</v>
      </c>
      <c r="B7" s="8" t="s">
        <v>38</v>
      </c>
      <c r="C7" s="3">
        <v>1.6999760138659299</v>
      </c>
      <c r="D7" s="3">
        <v>249.8964740382917</v>
      </c>
      <c r="E7" s="3">
        <v>-2578.4522719374581</v>
      </c>
      <c r="F7" s="3" t="str">
        <f t="shared" si="0"/>
        <v>Premium Markup</v>
      </c>
      <c r="G7" s="3">
        <v>87</v>
      </c>
      <c r="H7" s="3">
        <v>147</v>
      </c>
      <c r="I7" s="3">
        <v>2828.3487459757498</v>
      </c>
      <c r="J7" s="3" t="s">
        <v>25</v>
      </c>
      <c r="K7" s="3">
        <v>90</v>
      </c>
      <c r="L7" s="3">
        <v>27</v>
      </c>
      <c r="M7" s="3">
        <v>66</v>
      </c>
      <c r="N7" s="3">
        <v>3</v>
      </c>
      <c r="O7" s="3" t="s">
        <v>138</v>
      </c>
      <c r="P7" s="3">
        <v>4.4440988643822896</v>
      </c>
      <c r="Q7" s="3" t="s">
        <v>156</v>
      </c>
      <c r="R7" s="3" t="s">
        <v>147</v>
      </c>
      <c r="S7" s="3">
        <v>8</v>
      </c>
      <c r="T7" s="3">
        <v>585</v>
      </c>
      <c r="U7" s="3">
        <v>8</v>
      </c>
      <c r="V7" s="3">
        <v>85.675963335797903</v>
      </c>
      <c r="W7" s="3" t="s">
        <v>47</v>
      </c>
      <c r="X7" s="3">
        <f t="shared" si="1"/>
        <v>179.24918698700287</v>
      </c>
      <c r="Y7" s="3">
        <v>1.21938222440138E-2</v>
      </c>
      <c r="Z7" s="3">
        <v>1.2193822244013801</v>
      </c>
      <c r="AA7" s="3" t="s">
        <v>36</v>
      </c>
      <c r="AB7" s="3" t="s">
        <v>141</v>
      </c>
      <c r="AC7">
        <v>0.14645463818085111</v>
      </c>
      <c r="AD7">
        <v>11</v>
      </c>
      <c r="AE7">
        <v>4950.3923625290545</v>
      </c>
      <c r="AF7">
        <v>-2122.0436165533047</v>
      </c>
      <c r="AG7">
        <v>-0.75027650659155987</v>
      </c>
    </row>
    <row r="8" spans="1:33" x14ac:dyDescent="0.35">
      <c r="A8" s="5" t="s">
        <v>28</v>
      </c>
      <c r="B8" s="8" t="s">
        <v>39</v>
      </c>
      <c r="C8" s="3">
        <v>4.0783328631079403</v>
      </c>
      <c r="D8" s="3">
        <v>265.09163610201614</v>
      </c>
      <c r="E8" s="3">
        <v>-7558.384923429714</v>
      </c>
      <c r="F8" s="3" t="str">
        <f t="shared" si="0"/>
        <v>Premium Markup</v>
      </c>
      <c r="G8" s="3">
        <v>48</v>
      </c>
      <c r="H8" s="3">
        <v>65</v>
      </c>
      <c r="I8" s="3">
        <v>7823.4765595317303</v>
      </c>
      <c r="J8" s="3" t="s">
        <v>40</v>
      </c>
      <c r="K8" s="3">
        <v>11</v>
      </c>
      <c r="L8" s="3">
        <v>15</v>
      </c>
      <c r="M8" s="3">
        <v>58</v>
      </c>
      <c r="N8" s="3">
        <v>8</v>
      </c>
      <c r="O8" s="3" t="s">
        <v>139</v>
      </c>
      <c r="P8" s="3">
        <v>3.8807633029519999</v>
      </c>
      <c r="Q8" s="3" t="s">
        <v>155</v>
      </c>
      <c r="R8" s="3" t="s">
        <v>144</v>
      </c>
      <c r="S8" s="3">
        <v>10</v>
      </c>
      <c r="T8" s="3">
        <v>198</v>
      </c>
      <c r="U8" s="3">
        <v>11</v>
      </c>
      <c r="V8" s="3">
        <v>7.0578761469782298</v>
      </c>
      <c r="W8" s="3" t="s">
        <v>47</v>
      </c>
      <c r="X8" s="3">
        <f t="shared" si="1"/>
        <v>8.5771038802679094</v>
      </c>
      <c r="Y8" s="3">
        <v>1.31955444311814E-3</v>
      </c>
      <c r="Z8" s="3">
        <v>0.131955444311814</v>
      </c>
      <c r="AA8" s="3" t="s">
        <v>41</v>
      </c>
      <c r="AB8" s="3" t="s">
        <v>142</v>
      </c>
      <c r="AC8">
        <v>3.5645839126152677E-2</v>
      </c>
      <c r="AD8">
        <v>18</v>
      </c>
      <c r="AE8">
        <v>846.35900692392988</v>
      </c>
      <c r="AF8">
        <v>6977.1175526078005</v>
      </c>
      <c r="AG8">
        <v>0.89181804272260923</v>
      </c>
    </row>
    <row r="9" spans="1:33" x14ac:dyDescent="0.35">
      <c r="A9" s="5" t="s">
        <v>42</v>
      </c>
      <c r="B9" s="8" t="s">
        <v>43</v>
      </c>
      <c r="C9" s="3">
        <v>42.958384382459997</v>
      </c>
      <c r="D9" s="3">
        <v>18300.27174692796</v>
      </c>
      <c r="E9" s="3">
        <v>9804.1679338381291</v>
      </c>
      <c r="F9" s="3" t="str">
        <f t="shared" si="0"/>
        <v>Discount Applied</v>
      </c>
      <c r="G9" s="3">
        <v>59</v>
      </c>
      <c r="H9" s="3">
        <v>426</v>
      </c>
      <c r="I9" s="3">
        <v>8496.1038130898305</v>
      </c>
      <c r="J9" s="3" t="s">
        <v>30</v>
      </c>
      <c r="K9" s="3">
        <v>93</v>
      </c>
      <c r="L9" s="3">
        <v>17</v>
      </c>
      <c r="M9" s="3">
        <v>11</v>
      </c>
      <c r="N9" s="3">
        <v>1</v>
      </c>
      <c r="O9" s="3" t="s">
        <v>138</v>
      </c>
      <c r="P9" s="3">
        <v>2.3483387844177801</v>
      </c>
      <c r="Q9" s="3" t="s">
        <v>156</v>
      </c>
      <c r="R9" s="3" t="s">
        <v>144</v>
      </c>
      <c r="S9" s="3">
        <v>10</v>
      </c>
      <c r="T9" s="3">
        <v>727</v>
      </c>
      <c r="U9" s="3">
        <v>27</v>
      </c>
      <c r="V9" s="3">
        <v>9.1668491485971497</v>
      </c>
      <c r="W9" s="3" t="s">
        <v>26</v>
      </c>
      <c r="X9" s="3">
        <f t="shared" si="1"/>
        <v>904.17290975526737</v>
      </c>
      <c r="Y9" s="3">
        <v>2.1224716191438203E-2</v>
      </c>
      <c r="Z9" s="3">
        <v>2.1224716191438202</v>
      </c>
      <c r="AA9" s="3" t="s">
        <v>33</v>
      </c>
      <c r="AB9" s="3" t="s">
        <v>142</v>
      </c>
      <c r="AC9">
        <v>1.2609146009074484E-2</v>
      </c>
      <c r="AD9">
        <v>11</v>
      </c>
      <c r="AE9">
        <v>3014.4924941919153</v>
      </c>
      <c r="AF9">
        <v>5481.6113188979152</v>
      </c>
      <c r="AG9">
        <v>0.64519118874847925</v>
      </c>
    </row>
    <row r="10" spans="1:33" x14ac:dyDescent="0.35">
      <c r="A10" s="5" t="s">
        <v>42</v>
      </c>
      <c r="B10" s="8" t="s">
        <v>44</v>
      </c>
      <c r="C10" s="3">
        <v>68.717596748527299</v>
      </c>
      <c r="D10" s="3">
        <v>10307.639512279095</v>
      </c>
      <c r="E10" s="3">
        <v>2790.2763016479748</v>
      </c>
      <c r="F10" s="3" t="str">
        <f t="shared" si="0"/>
        <v>Discount Applied</v>
      </c>
      <c r="G10" s="3">
        <v>78</v>
      </c>
      <c r="H10" s="3">
        <v>150</v>
      </c>
      <c r="I10" s="3">
        <v>7517.3632106311197</v>
      </c>
      <c r="J10" s="3" t="s">
        <v>30</v>
      </c>
      <c r="K10" s="3">
        <v>5</v>
      </c>
      <c r="L10" s="3">
        <v>10</v>
      </c>
      <c r="M10" s="3">
        <v>15</v>
      </c>
      <c r="N10" s="3">
        <v>7</v>
      </c>
      <c r="O10" s="3" t="s">
        <v>139</v>
      </c>
      <c r="P10" s="3">
        <v>3.4047338570830199</v>
      </c>
      <c r="Q10" s="3" t="s">
        <v>156</v>
      </c>
      <c r="R10" s="3" t="s">
        <v>144</v>
      </c>
      <c r="S10" s="3">
        <v>21</v>
      </c>
      <c r="T10" s="3">
        <v>953</v>
      </c>
      <c r="U10" s="3">
        <v>11</v>
      </c>
      <c r="V10" s="3">
        <v>68.1849190570411</v>
      </c>
      <c r="W10" s="3" t="s">
        <v>26</v>
      </c>
      <c r="X10" s="3">
        <f t="shared" si="1"/>
        <v>108.33066028243965</v>
      </c>
      <c r="Y10" s="3">
        <v>7.22204401882931E-3</v>
      </c>
      <c r="Z10" s="3">
        <v>0.722204401882931</v>
      </c>
      <c r="AA10" s="3" t="s">
        <v>41</v>
      </c>
      <c r="AB10" s="3" t="s">
        <v>140</v>
      </c>
      <c r="AC10">
        <v>7.1547659031522659E-2</v>
      </c>
      <c r="AD10">
        <v>28</v>
      </c>
      <c r="AE10">
        <v>519.58123980352002</v>
      </c>
      <c r="AF10">
        <v>6997.7819708276002</v>
      </c>
      <c r="AG10">
        <v>0.93088251488650653</v>
      </c>
    </row>
    <row r="11" spans="1:33" x14ac:dyDescent="0.35">
      <c r="A11" s="5" t="s">
        <v>28</v>
      </c>
      <c r="B11" s="8" t="s">
        <v>45</v>
      </c>
      <c r="C11" s="3">
        <v>64.0157329412785</v>
      </c>
      <c r="D11" s="3">
        <v>62735.418282452927</v>
      </c>
      <c r="E11" s="3">
        <v>57764.272294867376</v>
      </c>
      <c r="F11" s="3" t="str">
        <f t="shared" si="0"/>
        <v>Discount Applied</v>
      </c>
      <c r="G11" s="3">
        <v>35</v>
      </c>
      <c r="H11" s="3">
        <v>980</v>
      </c>
      <c r="I11" s="3">
        <v>4971.1459875855498</v>
      </c>
      <c r="J11" s="3" t="s">
        <v>32</v>
      </c>
      <c r="K11" s="3">
        <v>14</v>
      </c>
      <c r="L11" s="3">
        <v>27</v>
      </c>
      <c r="M11" s="3">
        <v>83</v>
      </c>
      <c r="N11" s="3">
        <v>1</v>
      </c>
      <c r="O11" s="3" t="s">
        <v>137</v>
      </c>
      <c r="P11" s="3">
        <v>7.1666452910482104</v>
      </c>
      <c r="Q11" s="3" t="s">
        <v>154</v>
      </c>
      <c r="R11" s="3" t="s">
        <v>145</v>
      </c>
      <c r="S11" s="3">
        <v>18</v>
      </c>
      <c r="T11" s="3">
        <v>374</v>
      </c>
      <c r="U11" s="3">
        <v>17</v>
      </c>
      <c r="V11" s="3">
        <v>27.107980854843898</v>
      </c>
      <c r="W11" s="3" t="s">
        <v>26</v>
      </c>
      <c r="X11" s="3">
        <f t="shared" si="1"/>
        <v>2187.3003285146747</v>
      </c>
      <c r="Y11" s="3">
        <v>2.2319391107292599E-2</v>
      </c>
      <c r="Z11" s="3">
        <v>2.2319391107292601</v>
      </c>
      <c r="AA11" s="3" t="s">
        <v>41</v>
      </c>
      <c r="AB11" s="3" t="s">
        <v>140</v>
      </c>
      <c r="AC11">
        <v>7.248123223220293E-2</v>
      </c>
      <c r="AD11">
        <v>19</v>
      </c>
      <c r="AE11">
        <v>2967.401293603255</v>
      </c>
      <c r="AF11">
        <v>2003.7446939822948</v>
      </c>
      <c r="AG11">
        <v>0.40307500503631344</v>
      </c>
    </row>
    <row r="12" spans="1:33" x14ac:dyDescent="0.35">
      <c r="A12" s="5" t="s">
        <v>28</v>
      </c>
      <c r="B12" s="8" t="s">
        <v>46</v>
      </c>
      <c r="C12" s="3">
        <v>15.707795681912099</v>
      </c>
      <c r="D12" s="3">
        <v>15644.964499184451</v>
      </c>
      <c r="E12" s="3">
        <v>13313.998697092511</v>
      </c>
      <c r="F12" s="3" t="str">
        <f t="shared" si="0"/>
        <v>Discount Applied</v>
      </c>
      <c r="G12" s="3">
        <v>11</v>
      </c>
      <c r="H12" s="3">
        <v>996</v>
      </c>
      <c r="I12" s="3">
        <v>2330.9658020919401</v>
      </c>
      <c r="J12" s="3" t="s">
        <v>25</v>
      </c>
      <c r="K12" s="3">
        <v>51</v>
      </c>
      <c r="L12" s="3">
        <v>13</v>
      </c>
      <c r="M12" s="3">
        <v>80</v>
      </c>
      <c r="N12" s="3">
        <v>2</v>
      </c>
      <c r="O12" s="3" t="s">
        <v>139</v>
      </c>
      <c r="P12" s="3">
        <v>8.6732112112786108</v>
      </c>
      <c r="Q12" s="3" t="s">
        <v>157</v>
      </c>
      <c r="R12" s="3" t="s">
        <v>143</v>
      </c>
      <c r="S12" s="3">
        <v>29</v>
      </c>
      <c r="T12" s="3">
        <v>921</v>
      </c>
      <c r="U12" s="3">
        <v>2</v>
      </c>
      <c r="V12" s="3">
        <v>38.072898520625998</v>
      </c>
      <c r="W12" s="3" t="s">
        <v>35</v>
      </c>
      <c r="X12" s="3">
        <f t="shared" si="1"/>
        <v>344.64318154268096</v>
      </c>
      <c r="Y12" s="3">
        <v>3.46027290705503E-3</v>
      </c>
      <c r="Z12" s="3">
        <v>0.34602729070550298</v>
      </c>
      <c r="AA12" s="3" t="s">
        <v>36</v>
      </c>
      <c r="AB12" s="3" t="s">
        <v>141</v>
      </c>
      <c r="AC12">
        <v>4.1338652031081433E-2</v>
      </c>
      <c r="AD12">
        <v>31</v>
      </c>
      <c r="AE12">
        <v>1053.7150448212301</v>
      </c>
      <c r="AF12">
        <v>1277.25075727071</v>
      </c>
      <c r="AG12">
        <v>0.54794916172705455</v>
      </c>
    </row>
    <row r="13" spans="1:33" x14ac:dyDescent="0.35">
      <c r="A13" s="5" t="s">
        <v>28</v>
      </c>
      <c r="B13" s="8" t="s">
        <v>48</v>
      </c>
      <c r="C13" s="3">
        <v>90.635459982288594</v>
      </c>
      <c r="D13" s="3">
        <v>87010.041582997044</v>
      </c>
      <c r="E13" s="3">
        <v>80910.097467415588</v>
      </c>
      <c r="F13" s="3" t="str">
        <f t="shared" si="0"/>
        <v>Discount Applied</v>
      </c>
      <c r="G13" s="3">
        <v>95</v>
      </c>
      <c r="H13" s="3">
        <v>960</v>
      </c>
      <c r="I13" s="3">
        <v>6099.9441155814502</v>
      </c>
      <c r="J13" s="3" t="s">
        <v>30</v>
      </c>
      <c r="K13" s="3">
        <v>46</v>
      </c>
      <c r="L13" s="3">
        <v>23</v>
      </c>
      <c r="M13" s="3">
        <v>60</v>
      </c>
      <c r="N13" s="3">
        <v>1</v>
      </c>
      <c r="O13" s="3" t="s">
        <v>137</v>
      </c>
      <c r="P13" s="3">
        <v>4.5239431243166601</v>
      </c>
      <c r="Q13" s="3" t="s">
        <v>154</v>
      </c>
      <c r="R13" s="3" t="s">
        <v>143</v>
      </c>
      <c r="S13" s="3">
        <v>4</v>
      </c>
      <c r="T13" s="3">
        <v>452</v>
      </c>
      <c r="U13" s="3">
        <v>10</v>
      </c>
      <c r="V13" s="3">
        <v>10.754272815029299</v>
      </c>
      <c r="W13" s="3" t="s">
        <v>47</v>
      </c>
      <c r="X13" s="3">
        <f t="shared" si="1"/>
        <v>620.74037699717178</v>
      </c>
      <c r="Y13" s="3">
        <v>6.4660455937205399E-3</v>
      </c>
      <c r="Z13" s="3">
        <v>0.64660455937205397</v>
      </c>
      <c r="AA13" s="3" t="s">
        <v>27</v>
      </c>
      <c r="AB13" s="3" t="s">
        <v>141</v>
      </c>
      <c r="AC13">
        <v>2.3792638971303761E-2</v>
      </c>
      <c r="AD13">
        <v>5</v>
      </c>
      <c r="AE13">
        <v>2551.7900021676151</v>
      </c>
      <c r="AF13">
        <v>3548.1541134138351</v>
      </c>
      <c r="AG13">
        <v>0.58166993765575226</v>
      </c>
    </row>
    <row r="14" spans="1:33" x14ac:dyDescent="0.35">
      <c r="A14" s="5" t="s">
        <v>23</v>
      </c>
      <c r="B14" s="8" t="s">
        <v>49</v>
      </c>
      <c r="C14" s="3">
        <v>71.213389075359999</v>
      </c>
      <c r="D14" s="3">
        <v>23927.69872932096</v>
      </c>
      <c r="E14" s="3">
        <v>21053.957283299522</v>
      </c>
      <c r="F14" s="3" t="str">
        <f t="shared" si="0"/>
        <v>Discount Applied</v>
      </c>
      <c r="G14" s="3">
        <v>41</v>
      </c>
      <c r="H14" s="3">
        <v>336</v>
      </c>
      <c r="I14" s="3">
        <v>2873.74144602144</v>
      </c>
      <c r="J14" s="3" t="s">
        <v>32</v>
      </c>
      <c r="K14" s="3">
        <v>100</v>
      </c>
      <c r="L14" s="3">
        <v>30</v>
      </c>
      <c r="M14" s="3">
        <v>85</v>
      </c>
      <c r="N14" s="3">
        <v>4</v>
      </c>
      <c r="O14" s="3" t="s">
        <v>137</v>
      </c>
      <c r="P14" s="3">
        <v>1.32527401018452</v>
      </c>
      <c r="Q14" s="3" t="s">
        <v>156</v>
      </c>
      <c r="R14" s="3" t="s">
        <v>147</v>
      </c>
      <c r="S14" s="3">
        <v>28</v>
      </c>
      <c r="T14" s="3">
        <v>447</v>
      </c>
      <c r="U14" s="3">
        <v>3</v>
      </c>
      <c r="V14" s="3">
        <v>40.382359702924802</v>
      </c>
      <c r="W14" s="3" t="s">
        <v>26</v>
      </c>
      <c r="X14" s="3">
        <f t="shared" si="1"/>
        <v>1240.2802583232499</v>
      </c>
      <c r="Y14" s="3">
        <v>3.6913102926287203E-2</v>
      </c>
      <c r="Z14" s="3">
        <v>3.69131029262872</v>
      </c>
      <c r="AA14" s="3" t="s">
        <v>33</v>
      </c>
      <c r="AB14" s="3" t="s">
        <v>140</v>
      </c>
      <c r="AC14">
        <v>9.0340849447259064E-2</v>
      </c>
      <c r="AD14">
        <v>32</v>
      </c>
      <c r="AE14">
        <v>3793.62386301469</v>
      </c>
      <c r="AF14">
        <v>-919.88241699324999</v>
      </c>
      <c r="AG14">
        <v>-0.32009922753029296</v>
      </c>
    </row>
    <row r="15" spans="1:33" x14ac:dyDescent="0.35">
      <c r="A15" s="5" t="s">
        <v>28</v>
      </c>
      <c r="B15" s="8" t="s">
        <v>50</v>
      </c>
      <c r="C15" s="3">
        <v>16.160393317379899</v>
      </c>
      <c r="D15" s="3">
        <v>4023.9379360275948</v>
      </c>
      <c r="E15" s="3">
        <v>-28.80048021026505</v>
      </c>
      <c r="F15" s="3" t="str">
        <f t="shared" si="0"/>
        <v>Premium Markup</v>
      </c>
      <c r="G15" s="3">
        <v>5</v>
      </c>
      <c r="H15" s="3">
        <v>249</v>
      </c>
      <c r="I15" s="3">
        <v>4052.7384162378598</v>
      </c>
      <c r="J15" s="3" t="s">
        <v>40</v>
      </c>
      <c r="K15" s="3">
        <v>80</v>
      </c>
      <c r="L15" s="3">
        <v>8</v>
      </c>
      <c r="M15" s="3">
        <v>48</v>
      </c>
      <c r="N15" s="3">
        <v>9</v>
      </c>
      <c r="O15" s="3" t="s">
        <v>137</v>
      </c>
      <c r="P15" s="3">
        <v>9.5372830611083295</v>
      </c>
      <c r="Q15" s="3" t="s">
        <v>157</v>
      </c>
      <c r="R15" s="3" t="s">
        <v>144</v>
      </c>
      <c r="S15" s="3">
        <v>29</v>
      </c>
      <c r="T15" s="3">
        <v>929</v>
      </c>
      <c r="U15" s="3">
        <v>24</v>
      </c>
      <c r="V15" s="3">
        <v>87.213057815135599</v>
      </c>
      <c r="W15" s="3" t="s">
        <v>35</v>
      </c>
      <c r="X15" s="3">
        <f t="shared" si="1"/>
        <v>710.41956354561341</v>
      </c>
      <c r="Y15" s="3">
        <v>2.85309061664905E-2</v>
      </c>
      <c r="Z15" s="3">
        <v>2.8530906166490499</v>
      </c>
      <c r="AA15" s="3" t="s">
        <v>36</v>
      </c>
      <c r="AB15" s="3" t="s">
        <v>140</v>
      </c>
      <c r="AC15">
        <v>9.3878426065807971E-2</v>
      </c>
      <c r="AD15">
        <v>38</v>
      </c>
      <c r="AE15">
        <v>2150.8454848756801</v>
      </c>
      <c r="AF15">
        <v>1901.8929313621798</v>
      </c>
      <c r="AG15">
        <v>0.46928588426580442</v>
      </c>
    </row>
    <row r="16" spans="1:33" x14ac:dyDescent="0.35">
      <c r="A16" s="5" t="s">
        <v>28</v>
      </c>
      <c r="B16" s="8" t="s">
        <v>51</v>
      </c>
      <c r="C16" s="3">
        <v>99.171328638624104</v>
      </c>
      <c r="D16" s="3">
        <v>55734.286694906747</v>
      </c>
      <c r="E16" s="3">
        <v>47080.715768436945</v>
      </c>
      <c r="F16" s="3" t="str">
        <f t="shared" si="0"/>
        <v>Discount Applied</v>
      </c>
      <c r="G16" s="3">
        <v>26</v>
      </c>
      <c r="H16" s="3">
        <v>562</v>
      </c>
      <c r="I16" s="3">
        <v>8653.5709264697998</v>
      </c>
      <c r="J16" s="3" t="s">
        <v>25</v>
      </c>
      <c r="K16" s="3">
        <v>54</v>
      </c>
      <c r="L16" s="3">
        <v>29</v>
      </c>
      <c r="M16" s="3">
        <v>78</v>
      </c>
      <c r="N16" s="3">
        <v>5</v>
      </c>
      <c r="O16" s="3" t="s">
        <v>138</v>
      </c>
      <c r="P16" s="3">
        <v>2.0397701894493299</v>
      </c>
      <c r="Q16" s="3" t="s">
        <v>153</v>
      </c>
      <c r="R16" s="3" t="s">
        <v>145</v>
      </c>
      <c r="S16" s="3">
        <v>11</v>
      </c>
      <c r="T16" s="3">
        <v>568</v>
      </c>
      <c r="U16" s="3">
        <v>29</v>
      </c>
      <c r="V16" s="3">
        <v>98.6099572427038</v>
      </c>
      <c r="W16" s="3" t="s">
        <v>26</v>
      </c>
      <c r="X16" s="3">
        <f t="shared" si="1"/>
        <v>754.36785825017432</v>
      </c>
      <c r="Y16" s="3">
        <v>1.34229156272273E-2</v>
      </c>
      <c r="Z16" s="3">
        <v>1.3422915627227301</v>
      </c>
      <c r="AA16" s="3" t="s">
        <v>36</v>
      </c>
      <c r="AB16" s="3" t="s">
        <v>140</v>
      </c>
      <c r="AC16">
        <v>0.17360907965264755</v>
      </c>
      <c r="AD16">
        <v>16</v>
      </c>
      <c r="AE16">
        <v>981.64723056206003</v>
      </c>
      <c r="AF16">
        <v>7671.9236959077398</v>
      </c>
      <c r="AG16">
        <v>0.88656160111204863</v>
      </c>
    </row>
    <row r="17" spans="1:33" x14ac:dyDescent="0.35">
      <c r="A17" s="5" t="s">
        <v>28</v>
      </c>
      <c r="B17" s="8" t="s">
        <v>52</v>
      </c>
      <c r="C17" s="3">
        <v>36.989244928626903</v>
      </c>
      <c r="D17" s="3">
        <v>17347.955871526017</v>
      </c>
      <c r="E17" s="3">
        <v>11905.869086128347</v>
      </c>
      <c r="F17" s="3" t="str">
        <f t="shared" si="0"/>
        <v>Discount Applied</v>
      </c>
      <c r="G17" s="3">
        <v>94</v>
      </c>
      <c r="H17" s="3">
        <v>469</v>
      </c>
      <c r="I17" s="3">
        <v>5442.0867853976697</v>
      </c>
      <c r="J17" s="3" t="s">
        <v>25</v>
      </c>
      <c r="K17" s="3">
        <v>9</v>
      </c>
      <c r="L17" s="3">
        <v>8</v>
      </c>
      <c r="M17" s="3">
        <v>69</v>
      </c>
      <c r="N17" s="3">
        <v>7</v>
      </c>
      <c r="O17" s="3" t="s">
        <v>138</v>
      </c>
      <c r="P17" s="3">
        <v>2.4220397232752</v>
      </c>
      <c r="Q17" s="3" t="s">
        <v>153</v>
      </c>
      <c r="R17" s="3" t="s">
        <v>145</v>
      </c>
      <c r="S17" s="3">
        <v>25</v>
      </c>
      <c r="T17" s="3">
        <v>558</v>
      </c>
      <c r="U17" s="3">
        <v>14</v>
      </c>
      <c r="V17" s="3">
        <v>5.7914366298629796</v>
      </c>
      <c r="W17" s="3" t="s">
        <v>26</v>
      </c>
      <c r="X17" s="3">
        <f t="shared" si="1"/>
        <v>47.220257384028621</v>
      </c>
      <c r="Y17" s="3">
        <v>1.0068285156509301E-3</v>
      </c>
      <c r="Z17" s="3">
        <v>0.100682851565093</v>
      </c>
      <c r="AA17" s="3" t="s">
        <v>33</v>
      </c>
      <c r="AB17" s="3" t="s">
        <v>141</v>
      </c>
      <c r="AC17">
        <v>1.0378918691510716E-2</v>
      </c>
      <c r="AD17">
        <v>32</v>
      </c>
      <c r="AE17">
        <v>4646.1764498044449</v>
      </c>
      <c r="AF17">
        <v>795.91033559322477</v>
      </c>
      <c r="AG17">
        <v>0.14625094508393902</v>
      </c>
    </row>
    <row r="18" spans="1:33" x14ac:dyDescent="0.35">
      <c r="A18" s="5" t="s">
        <v>28</v>
      </c>
      <c r="B18" s="8" t="s">
        <v>53</v>
      </c>
      <c r="C18" s="3">
        <v>7.5471721097912701</v>
      </c>
      <c r="D18" s="3">
        <v>2113.2081907415554</v>
      </c>
      <c r="E18" s="3">
        <v>-4340.589777434725</v>
      </c>
      <c r="F18" s="3" t="str">
        <f t="shared" si="0"/>
        <v>Premium Markup</v>
      </c>
      <c r="G18" s="3">
        <v>74</v>
      </c>
      <c r="H18" s="3">
        <v>280</v>
      </c>
      <c r="I18" s="3">
        <v>6453.7979681762799</v>
      </c>
      <c r="J18" s="3" t="s">
        <v>30</v>
      </c>
      <c r="K18" s="3">
        <v>2</v>
      </c>
      <c r="L18" s="3">
        <v>5</v>
      </c>
      <c r="M18" s="3">
        <v>78</v>
      </c>
      <c r="N18" s="3">
        <v>1</v>
      </c>
      <c r="O18" s="3" t="s">
        <v>138</v>
      </c>
      <c r="P18" s="3">
        <v>4.1913245857054999</v>
      </c>
      <c r="Q18" s="3" t="s">
        <v>153</v>
      </c>
      <c r="R18" s="3" t="s">
        <v>144</v>
      </c>
      <c r="S18" s="3">
        <v>29</v>
      </c>
      <c r="T18" s="3">
        <v>215</v>
      </c>
      <c r="U18" s="3">
        <v>29</v>
      </c>
      <c r="V18" s="3">
        <v>46.279879240508301</v>
      </c>
      <c r="W18" s="3" t="s">
        <v>26</v>
      </c>
      <c r="X18" s="3">
        <f t="shared" si="1"/>
        <v>63.394901037978997</v>
      </c>
      <c r="Y18" s="3">
        <v>2.2641036084992501E-3</v>
      </c>
      <c r="Z18" s="3">
        <v>0.226410360849925</v>
      </c>
      <c r="AA18" s="3" t="s">
        <v>27</v>
      </c>
      <c r="AB18" s="3" t="s">
        <v>141</v>
      </c>
      <c r="AC18">
        <v>0.21525525228143397</v>
      </c>
      <c r="AD18">
        <v>30</v>
      </c>
      <c r="AE18">
        <v>938.76037729601512</v>
      </c>
      <c r="AF18">
        <v>5515.0375908802653</v>
      </c>
      <c r="AG18">
        <v>0.85454140617276086</v>
      </c>
    </row>
    <row r="19" spans="1:33" x14ac:dyDescent="0.35">
      <c r="A19" s="5" t="s">
        <v>42</v>
      </c>
      <c r="B19" s="8" t="s">
        <v>54</v>
      </c>
      <c r="C19" s="3">
        <v>81.462534369237005</v>
      </c>
      <c r="D19" s="3">
        <v>10264.279330523863</v>
      </c>
      <c r="E19" s="3">
        <v>7634.8828956786028</v>
      </c>
      <c r="F19" s="3" t="str">
        <f t="shared" si="0"/>
        <v>Discount Applied</v>
      </c>
      <c r="G19" s="3">
        <v>82</v>
      </c>
      <c r="H19" s="3">
        <v>126</v>
      </c>
      <c r="I19" s="3">
        <v>2629.39643484526</v>
      </c>
      <c r="J19" s="3" t="s">
        <v>30</v>
      </c>
      <c r="K19" s="3">
        <v>45</v>
      </c>
      <c r="L19" s="3">
        <v>17</v>
      </c>
      <c r="M19" s="3">
        <v>85</v>
      </c>
      <c r="N19" s="3">
        <v>9</v>
      </c>
      <c r="O19" s="3" t="s">
        <v>139</v>
      </c>
      <c r="P19" s="3">
        <v>3.5854189582323399</v>
      </c>
      <c r="Q19" s="3" t="s">
        <v>153</v>
      </c>
      <c r="R19" s="3" t="s">
        <v>143</v>
      </c>
      <c r="S19" s="3">
        <v>4</v>
      </c>
      <c r="T19" s="3">
        <v>211</v>
      </c>
      <c r="U19" s="3">
        <v>2</v>
      </c>
      <c r="V19" s="3">
        <v>69.929345518672307</v>
      </c>
      <c r="W19" s="3" t="s">
        <v>35</v>
      </c>
      <c r="X19" s="3">
        <f t="shared" si="1"/>
        <v>173.1780539679645</v>
      </c>
      <c r="Y19" s="3">
        <v>1.37442899974575E-2</v>
      </c>
      <c r="Z19" s="3">
        <v>1.3744289997457499</v>
      </c>
      <c r="AA19" s="3" t="s">
        <v>27</v>
      </c>
      <c r="AB19" s="3" t="s">
        <v>141</v>
      </c>
      <c r="AC19">
        <v>0.33141869914062705</v>
      </c>
      <c r="AD19">
        <v>13</v>
      </c>
      <c r="AE19">
        <v>4213.4341500232049</v>
      </c>
      <c r="AF19">
        <v>-1584.0377151779448</v>
      </c>
      <c r="AG19">
        <v>-0.60243396324189713</v>
      </c>
    </row>
    <row r="20" spans="1:33" x14ac:dyDescent="0.35">
      <c r="A20" s="5" t="s">
        <v>23</v>
      </c>
      <c r="B20" s="8" t="s">
        <v>55</v>
      </c>
      <c r="C20" s="3">
        <v>36.4436277704609</v>
      </c>
      <c r="D20" s="3">
        <v>22595.049217685759</v>
      </c>
      <c r="E20" s="3">
        <v>13230.375712609588</v>
      </c>
      <c r="F20" s="3" t="str">
        <f t="shared" si="0"/>
        <v>Discount Applied</v>
      </c>
      <c r="G20" s="3">
        <v>23</v>
      </c>
      <c r="H20" s="3">
        <v>620</v>
      </c>
      <c r="I20" s="3">
        <v>9364.6735050761708</v>
      </c>
      <c r="J20" s="3" t="s">
        <v>32</v>
      </c>
      <c r="K20" s="3">
        <v>10</v>
      </c>
      <c r="L20" s="3">
        <v>10</v>
      </c>
      <c r="M20" s="3">
        <v>46</v>
      </c>
      <c r="N20" s="3">
        <v>8</v>
      </c>
      <c r="O20" s="3" t="s">
        <v>139</v>
      </c>
      <c r="P20" s="3">
        <v>4.3392247141107001</v>
      </c>
      <c r="Q20" s="3" t="s">
        <v>154</v>
      </c>
      <c r="R20" s="3" t="s">
        <v>143</v>
      </c>
      <c r="S20" s="3">
        <v>8</v>
      </c>
      <c r="T20" s="3">
        <v>202</v>
      </c>
      <c r="U20" s="3">
        <v>5</v>
      </c>
      <c r="V20" s="3">
        <v>76.961228023819999</v>
      </c>
      <c r="W20" s="3" t="s">
        <v>35</v>
      </c>
      <c r="X20" s="3">
        <f t="shared" si="1"/>
        <v>1766.7905630733046</v>
      </c>
      <c r="Y20" s="3">
        <v>2.8496621985053299E-2</v>
      </c>
      <c r="Z20" s="3">
        <v>2.8496621985053299</v>
      </c>
      <c r="AA20" s="3" t="s">
        <v>41</v>
      </c>
      <c r="AB20" s="3" t="s">
        <v>141</v>
      </c>
      <c r="AC20">
        <v>0.38099617833574256</v>
      </c>
      <c r="AD20">
        <v>16</v>
      </c>
      <c r="AE20">
        <v>3938.89925247172</v>
      </c>
      <c r="AF20">
        <v>5425.7742526044512</v>
      </c>
      <c r="AG20">
        <v>0.57938744470518722</v>
      </c>
    </row>
    <row r="21" spans="1:33" x14ac:dyDescent="0.35">
      <c r="A21" s="5" t="s">
        <v>28</v>
      </c>
      <c r="B21" s="8" t="s">
        <v>56</v>
      </c>
      <c r="C21" s="3">
        <v>51.123870087964697</v>
      </c>
      <c r="D21" s="3">
        <v>9560.1637064493989</v>
      </c>
      <c r="E21" s="3">
        <v>7006.6681214581895</v>
      </c>
      <c r="F21" s="3" t="str">
        <f t="shared" si="0"/>
        <v>Discount Applied</v>
      </c>
      <c r="G21" s="3">
        <v>100</v>
      </c>
      <c r="H21" s="3">
        <v>187</v>
      </c>
      <c r="I21" s="3">
        <v>2553.4955849912099</v>
      </c>
      <c r="J21" s="3" t="s">
        <v>32</v>
      </c>
      <c r="K21" s="3">
        <v>48</v>
      </c>
      <c r="L21" s="3">
        <v>11</v>
      </c>
      <c r="M21" s="3">
        <v>94</v>
      </c>
      <c r="N21" s="3">
        <v>3</v>
      </c>
      <c r="O21" s="3" t="s">
        <v>137</v>
      </c>
      <c r="P21" s="3">
        <v>4.7426358828418698</v>
      </c>
      <c r="Q21" s="3" t="s">
        <v>156</v>
      </c>
      <c r="R21" s="3" t="s">
        <v>143</v>
      </c>
      <c r="S21" s="3">
        <v>28</v>
      </c>
      <c r="T21" s="3">
        <v>581</v>
      </c>
      <c r="U21" s="3">
        <v>9</v>
      </c>
      <c r="V21" s="3">
        <v>5.6046908643717801</v>
      </c>
      <c r="W21" s="3" t="s">
        <v>26</v>
      </c>
      <c r="X21" s="3">
        <f t="shared" si="1"/>
        <v>543.81884566868553</v>
      </c>
      <c r="Y21" s="3">
        <v>2.9081221693512599E-2</v>
      </c>
      <c r="Z21" s="3">
        <v>2.9081221693512598</v>
      </c>
      <c r="AA21" s="3" t="s">
        <v>36</v>
      </c>
      <c r="AB21" s="3" t="s">
        <v>140</v>
      </c>
      <c r="AC21">
        <v>9.6466279937552149E-3</v>
      </c>
      <c r="AD21">
        <v>31</v>
      </c>
      <c r="AE21">
        <v>4410.9943177352052</v>
      </c>
      <c r="AF21">
        <v>-1857.4987327439953</v>
      </c>
      <c r="AG21">
        <v>-0.72743369663996882</v>
      </c>
    </row>
    <row r="22" spans="1:33" x14ac:dyDescent="0.35">
      <c r="A22" s="5" t="s">
        <v>28</v>
      </c>
      <c r="B22" s="8" t="s">
        <v>57</v>
      </c>
      <c r="C22" s="3">
        <v>96.341072439963298</v>
      </c>
      <c r="D22" s="3">
        <v>30829.143180788255</v>
      </c>
      <c r="E22" s="3">
        <v>22701.115483937065</v>
      </c>
      <c r="F22" s="3" t="str">
        <f t="shared" si="0"/>
        <v>Discount Applied</v>
      </c>
      <c r="G22" s="3">
        <v>22</v>
      </c>
      <c r="H22" s="3">
        <v>320</v>
      </c>
      <c r="I22" s="3">
        <v>8128.0276968511898</v>
      </c>
      <c r="J22" s="3" t="s">
        <v>32</v>
      </c>
      <c r="K22" s="3">
        <v>27</v>
      </c>
      <c r="L22" s="3">
        <v>12</v>
      </c>
      <c r="M22" s="3">
        <v>68</v>
      </c>
      <c r="N22" s="3">
        <v>6</v>
      </c>
      <c r="O22" s="3" t="s">
        <v>137</v>
      </c>
      <c r="P22" s="3">
        <v>8.8783346509268402</v>
      </c>
      <c r="Q22" s="3" t="s">
        <v>153</v>
      </c>
      <c r="R22" s="3" t="s">
        <v>146</v>
      </c>
      <c r="S22" s="3">
        <v>17</v>
      </c>
      <c r="T22" s="3">
        <v>328</v>
      </c>
      <c r="U22" s="3">
        <v>6</v>
      </c>
      <c r="V22" s="3">
        <v>8.6930424258772803</v>
      </c>
      <c r="W22" s="3" t="s">
        <v>35</v>
      </c>
      <c r="X22" s="3">
        <f t="shared" si="1"/>
        <v>51.035620709604487</v>
      </c>
      <c r="Y22" s="3">
        <v>1.5948631471751401E-3</v>
      </c>
      <c r="Z22" s="3">
        <v>0.15948631471751401</v>
      </c>
      <c r="AA22" s="3" t="s">
        <v>33</v>
      </c>
      <c r="AB22" s="3" t="s">
        <v>142</v>
      </c>
      <c r="AC22">
        <v>2.6503178127674634E-2</v>
      </c>
      <c r="AD22">
        <v>23</v>
      </c>
      <c r="AE22">
        <v>3856.1254234057851</v>
      </c>
      <c r="AF22">
        <v>4271.9022734454047</v>
      </c>
      <c r="AG22">
        <v>0.52557673678946071</v>
      </c>
    </row>
    <row r="23" spans="1:33" x14ac:dyDescent="0.35">
      <c r="A23" s="5" t="s">
        <v>42</v>
      </c>
      <c r="B23" s="8" t="s">
        <v>58</v>
      </c>
      <c r="C23" s="3">
        <v>84.893868984950799</v>
      </c>
      <c r="D23" s="3">
        <v>51021.215259955432</v>
      </c>
      <c r="E23" s="3">
        <v>43934.162563598002</v>
      </c>
      <c r="F23" s="3" t="str">
        <f t="shared" si="0"/>
        <v>Discount Applied</v>
      </c>
      <c r="G23" s="3">
        <v>60</v>
      </c>
      <c r="H23" s="3">
        <v>601</v>
      </c>
      <c r="I23" s="3">
        <v>7087.0526963574302</v>
      </c>
      <c r="J23" s="3" t="s">
        <v>32</v>
      </c>
      <c r="K23" s="3">
        <v>69</v>
      </c>
      <c r="L23" s="3">
        <v>25</v>
      </c>
      <c r="M23" s="3">
        <v>7</v>
      </c>
      <c r="N23" s="3">
        <v>6</v>
      </c>
      <c r="O23" s="3" t="s">
        <v>138</v>
      </c>
      <c r="P23" s="3">
        <v>6.0378837692182898</v>
      </c>
      <c r="Q23" s="3" t="s">
        <v>157</v>
      </c>
      <c r="R23" s="3" t="s">
        <v>147</v>
      </c>
      <c r="S23" s="3">
        <v>22</v>
      </c>
      <c r="T23" s="3">
        <v>564</v>
      </c>
      <c r="U23" s="3">
        <v>1</v>
      </c>
      <c r="V23" s="3">
        <v>99.466108603599096</v>
      </c>
      <c r="W23" s="3" t="s">
        <v>35</v>
      </c>
      <c r="X23" s="3">
        <f t="shared" si="1"/>
        <v>239.30448929724065</v>
      </c>
      <c r="Y23" s="3">
        <v>3.9817718685065005E-3</v>
      </c>
      <c r="Z23" s="3">
        <v>0.39817718685065001</v>
      </c>
      <c r="AA23" s="3" t="s">
        <v>27</v>
      </c>
      <c r="AB23" s="3" t="s">
        <v>142</v>
      </c>
      <c r="AC23">
        <v>0.17635834858794167</v>
      </c>
      <c r="AD23">
        <v>28</v>
      </c>
      <c r="AE23">
        <v>4010.2815590877899</v>
      </c>
      <c r="AF23">
        <v>3076.7711372696403</v>
      </c>
      <c r="AG23">
        <v>0.43413972903729425</v>
      </c>
    </row>
    <row r="24" spans="1:33" x14ac:dyDescent="0.35">
      <c r="A24" s="5" t="s">
        <v>23</v>
      </c>
      <c r="B24" s="8" t="s">
        <v>59</v>
      </c>
      <c r="C24" s="3">
        <v>27.679780886501899</v>
      </c>
      <c r="D24" s="3">
        <v>24468.926303667678</v>
      </c>
      <c r="E24" s="3">
        <v>22078.118437111509</v>
      </c>
      <c r="F24" s="3" t="str">
        <f t="shared" si="0"/>
        <v>Discount Applied</v>
      </c>
      <c r="G24" s="3">
        <v>55</v>
      </c>
      <c r="H24" s="3">
        <v>884</v>
      </c>
      <c r="I24" s="3">
        <v>2390.8078665561702</v>
      </c>
      <c r="J24" s="3" t="s">
        <v>32</v>
      </c>
      <c r="K24" s="3">
        <v>71</v>
      </c>
      <c r="L24" s="3">
        <v>1</v>
      </c>
      <c r="M24" s="3">
        <v>63</v>
      </c>
      <c r="N24" s="3">
        <v>10</v>
      </c>
      <c r="O24" s="3" t="s">
        <v>137</v>
      </c>
      <c r="P24" s="3">
        <v>9.5676489209230393</v>
      </c>
      <c r="Q24" s="3" t="s">
        <v>156</v>
      </c>
      <c r="R24" s="3" t="s">
        <v>145</v>
      </c>
      <c r="S24" s="3">
        <v>16</v>
      </c>
      <c r="T24" s="3">
        <v>358</v>
      </c>
      <c r="U24" s="3">
        <v>21</v>
      </c>
      <c r="V24" s="3">
        <v>1.59722274305067</v>
      </c>
      <c r="W24" s="3" t="s">
        <v>35</v>
      </c>
      <c r="X24" s="3">
        <f t="shared" si="1"/>
        <v>4341.4088240806195</v>
      </c>
      <c r="Y24" s="3">
        <v>4.9110959548423302E-2</v>
      </c>
      <c r="Z24" s="3">
        <v>4.9110959548423301</v>
      </c>
      <c r="AA24" s="3" t="s">
        <v>36</v>
      </c>
      <c r="AB24" s="3" t="s">
        <v>142</v>
      </c>
      <c r="AC24">
        <v>4.4615160420409779E-3</v>
      </c>
      <c r="AD24">
        <v>26</v>
      </c>
      <c r="AE24">
        <v>2779.2955183587151</v>
      </c>
      <c r="AF24">
        <v>-388.48765180254486</v>
      </c>
      <c r="AG24">
        <v>-0.16249220911345769</v>
      </c>
    </row>
    <row r="25" spans="1:33" x14ac:dyDescent="0.35">
      <c r="A25" s="5" t="s">
        <v>42</v>
      </c>
      <c r="B25" s="8" t="s">
        <v>60</v>
      </c>
      <c r="C25" s="3">
        <v>4.3243411858641601</v>
      </c>
      <c r="D25" s="3">
        <v>1690.8174036728865</v>
      </c>
      <c r="E25" s="3">
        <v>-7167.5501673385934</v>
      </c>
      <c r="F25" s="3" t="str">
        <f t="shared" si="0"/>
        <v>Premium Markup</v>
      </c>
      <c r="G25" s="3">
        <v>30</v>
      </c>
      <c r="H25" s="3">
        <v>391</v>
      </c>
      <c r="I25" s="3">
        <v>8858.3675710114803</v>
      </c>
      <c r="J25" s="3" t="s">
        <v>32</v>
      </c>
      <c r="K25" s="3">
        <v>84</v>
      </c>
      <c r="L25" s="3">
        <v>5</v>
      </c>
      <c r="M25" s="3">
        <v>29</v>
      </c>
      <c r="N25" s="3">
        <v>7</v>
      </c>
      <c r="O25" s="3" t="s">
        <v>137</v>
      </c>
      <c r="P25" s="3">
        <v>2.92485760114555</v>
      </c>
      <c r="Q25" s="3" t="s">
        <v>157</v>
      </c>
      <c r="R25" s="3" t="s">
        <v>145</v>
      </c>
      <c r="S25" s="3">
        <v>24</v>
      </c>
      <c r="T25" s="3">
        <v>867</v>
      </c>
      <c r="U25" s="3">
        <v>28</v>
      </c>
      <c r="V25" s="3">
        <v>42.084436738309897</v>
      </c>
      <c r="W25" s="3" t="s">
        <v>35</v>
      </c>
      <c r="X25" s="3">
        <f t="shared" si="1"/>
        <v>1348.1927457410416</v>
      </c>
      <c r="Y25" s="3">
        <v>3.4480632883402598E-2</v>
      </c>
      <c r="Z25" s="3">
        <v>3.44806328834026</v>
      </c>
      <c r="AA25" s="3" t="s">
        <v>27</v>
      </c>
      <c r="AB25" s="3" t="s">
        <v>140</v>
      </c>
      <c r="AC25">
        <v>4.8540296122618107E-2</v>
      </c>
      <c r="AD25">
        <v>31</v>
      </c>
      <c r="AE25">
        <v>1969.2167428921352</v>
      </c>
      <c r="AF25">
        <v>6889.1508281193455</v>
      </c>
      <c r="AG25">
        <v>0.77769981578363401</v>
      </c>
    </row>
    <row r="26" spans="1:33" x14ac:dyDescent="0.35">
      <c r="A26" s="5" t="s">
        <v>23</v>
      </c>
      <c r="B26" s="8" t="s">
        <v>61</v>
      </c>
      <c r="C26" s="3">
        <v>4.1563083593111001</v>
      </c>
      <c r="D26" s="3">
        <v>868.66844709601992</v>
      </c>
      <c r="E26" s="3">
        <v>-8180.4094138438695</v>
      </c>
      <c r="F26" s="3" t="str">
        <f t="shared" si="0"/>
        <v>Premium Markup</v>
      </c>
      <c r="G26" s="3">
        <v>32</v>
      </c>
      <c r="H26" s="3">
        <v>209</v>
      </c>
      <c r="I26" s="3">
        <v>9049.0778609398894</v>
      </c>
      <c r="J26" s="3" t="s">
        <v>40</v>
      </c>
      <c r="K26" s="3">
        <v>4</v>
      </c>
      <c r="L26" s="3">
        <v>26</v>
      </c>
      <c r="M26" s="3">
        <v>2</v>
      </c>
      <c r="N26" s="3">
        <v>8</v>
      </c>
      <c r="O26" s="3" t="s">
        <v>139</v>
      </c>
      <c r="P26" s="3">
        <v>9.7412916892843597</v>
      </c>
      <c r="Q26" s="3" t="s">
        <v>154</v>
      </c>
      <c r="R26" s="3" t="s">
        <v>145</v>
      </c>
      <c r="S26" s="3">
        <v>16</v>
      </c>
      <c r="T26" s="3">
        <v>329</v>
      </c>
      <c r="U26" s="3">
        <v>7</v>
      </c>
      <c r="V26" s="3">
        <v>39.292875586065698</v>
      </c>
      <c r="W26" s="3" t="s">
        <v>47</v>
      </c>
      <c r="X26" s="3">
        <f t="shared" si="1"/>
        <v>810.52267774699237</v>
      </c>
      <c r="Y26" s="3">
        <v>3.8780989365884803E-2</v>
      </c>
      <c r="Z26" s="3">
        <v>3.8780989365884802</v>
      </c>
      <c r="AA26" s="3" t="s">
        <v>27</v>
      </c>
      <c r="AB26" s="3" t="s">
        <v>141</v>
      </c>
      <c r="AC26">
        <v>0.11943123278439421</v>
      </c>
      <c r="AD26">
        <v>24</v>
      </c>
      <c r="AE26">
        <v>3824.6768797035402</v>
      </c>
      <c r="AF26">
        <v>5224.4009812363493</v>
      </c>
      <c r="AG26">
        <v>0.57734070382876701</v>
      </c>
    </row>
    <row r="27" spans="1:33" x14ac:dyDescent="0.35">
      <c r="A27" s="5" t="s">
        <v>23</v>
      </c>
      <c r="B27" s="8" t="s">
        <v>62</v>
      </c>
      <c r="C27" s="3">
        <v>39.629343985092603</v>
      </c>
      <c r="D27" s="3">
        <v>5627.3668458831498</v>
      </c>
      <c r="E27" s="3">
        <v>3452.5897915324999</v>
      </c>
      <c r="F27" s="3" t="str">
        <f t="shared" si="0"/>
        <v>Discount Applied</v>
      </c>
      <c r="G27" s="3">
        <v>73</v>
      </c>
      <c r="H27" s="3">
        <v>142</v>
      </c>
      <c r="I27" s="3">
        <v>2174.7770543506499</v>
      </c>
      <c r="J27" s="3" t="s">
        <v>40</v>
      </c>
      <c r="K27" s="3">
        <v>82</v>
      </c>
      <c r="L27" s="3">
        <v>11</v>
      </c>
      <c r="M27" s="3">
        <v>52</v>
      </c>
      <c r="N27" s="3">
        <v>3</v>
      </c>
      <c r="O27" s="3" t="s">
        <v>139</v>
      </c>
      <c r="P27" s="3">
        <v>2.2310736812817198</v>
      </c>
      <c r="Q27" s="3" t="s">
        <v>156</v>
      </c>
      <c r="R27" s="3" t="s">
        <v>146</v>
      </c>
      <c r="S27" s="3">
        <v>1</v>
      </c>
      <c r="T27" s="3">
        <v>631</v>
      </c>
      <c r="U27" s="3">
        <v>17</v>
      </c>
      <c r="V27" s="3">
        <v>83.344058991677898</v>
      </c>
      <c r="W27" s="3" t="s">
        <v>26</v>
      </c>
      <c r="X27" s="3">
        <f t="shared" si="1"/>
        <v>200.26935580279485</v>
      </c>
      <c r="Y27" s="3">
        <v>1.41034757607602E-2</v>
      </c>
      <c r="Z27" s="3">
        <v>1.41034757607602</v>
      </c>
      <c r="AA27" s="3" t="s">
        <v>33</v>
      </c>
      <c r="AB27" s="3" t="s">
        <v>141</v>
      </c>
      <c r="AC27">
        <v>0.13208250236399033</v>
      </c>
      <c r="AD27">
        <v>4</v>
      </c>
      <c r="AE27">
        <v>3753.6892033413501</v>
      </c>
      <c r="AF27">
        <v>-1578.9121489907002</v>
      </c>
      <c r="AG27">
        <v>-0.72601103907735298</v>
      </c>
    </row>
    <row r="28" spans="1:33" x14ac:dyDescent="0.35">
      <c r="A28" s="5" t="s">
        <v>23</v>
      </c>
      <c r="B28" s="8" t="s">
        <v>63</v>
      </c>
      <c r="C28" s="3">
        <v>97.446946617892806</v>
      </c>
      <c r="D28" s="3">
        <v>34398.77215611616</v>
      </c>
      <c r="E28" s="3">
        <v>30682.278830222131</v>
      </c>
      <c r="F28" s="3" t="str">
        <f t="shared" si="0"/>
        <v>Discount Applied</v>
      </c>
      <c r="G28" s="3">
        <v>9</v>
      </c>
      <c r="H28" s="3">
        <v>353</v>
      </c>
      <c r="I28" s="3">
        <v>3716.49332589403</v>
      </c>
      <c r="J28" s="3" t="s">
        <v>40</v>
      </c>
      <c r="K28" s="3">
        <v>59</v>
      </c>
      <c r="L28" s="3">
        <v>16</v>
      </c>
      <c r="M28" s="3">
        <v>48</v>
      </c>
      <c r="N28" s="3">
        <v>4</v>
      </c>
      <c r="O28" s="3" t="s">
        <v>138</v>
      </c>
      <c r="P28" s="3">
        <v>6.5075486210785503</v>
      </c>
      <c r="Q28" s="3" t="s">
        <v>154</v>
      </c>
      <c r="R28" s="3" t="s">
        <v>147</v>
      </c>
      <c r="S28" s="3">
        <v>2</v>
      </c>
      <c r="T28" s="3">
        <v>258</v>
      </c>
      <c r="U28" s="3">
        <v>10</v>
      </c>
      <c r="V28" s="3">
        <v>30.661677477859499</v>
      </c>
      <c r="W28" s="3" t="s">
        <v>26</v>
      </c>
      <c r="X28" s="3">
        <f t="shared" si="1"/>
        <v>733.79896457986092</v>
      </c>
      <c r="Y28" s="3">
        <v>2.0787506078749601E-2</v>
      </c>
      <c r="Z28" s="3">
        <v>2.07875060787496</v>
      </c>
      <c r="AA28" s="3" t="s">
        <v>27</v>
      </c>
      <c r="AB28" s="3" t="s">
        <v>140</v>
      </c>
      <c r="AC28">
        <v>0.11884371115449419</v>
      </c>
      <c r="AD28">
        <v>6</v>
      </c>
      <c r="AE28">
        <v>2025.835339444275</v>
      </c>
      <c r="AF28">
        <v>1690.6579864497551</v>
      </c>
      <c r="AG28">
        <v>0.45490677318599915</v>
      </c>
    </row>
    <row r="29" spans="1:33" x14ac:dyDescent="0.35">
      <c r="A29" s="5" t="s">
        <v>42</v>
      </c>
      <c r="B29" s="8" t="s">
        <v>64</v>
      </c>
      <c r="C29" s="3">
        <v>92.557360812401996</v>
      </c>
      <c r="D29" s="3">
        <v>32580.191005965502</v>
      </c>
      <c r="E29" s="3">
        <v>29893.733782389521</v>
      </c>
      <c r="F29" s="3" t="str">
        <f t="shared" si="0"/>
        <v>Discount Applied</v>
      </c>
      <c r="G29" s="3">
        <v>42</v>
      </c>
      <c r="H29" s="3">
        <v>352</v>
      </c>
      <c r="I29" s="3">
        <v>2686.4572235759802</v>
      </c>
      <c r="J29" s="3" t="s">
        <v>32</v>
      </c>
      <c r="K29" s="3">
        <v>47</v>
      </c>
      <c r="L29" s="3">
        <v>9</v>
      </c>
      <c r="M29" s="3">
        <v>62</v>
      </c>
      <c r="N29" s="3">
        <v>8</v>
      </c>
      <c r="O29" s="3" t="s">
        <v>139</v>
      </c>
      <c r="P29" s="3">
        <v>7.4067509529980704</v>
      </c>
      <c r="Q29" s="3" t="s">
        <v>157</v>
      </c>
      <c r="R29" s="3" t="s">
        <v>143</v>
      </c>
      <c r="S29" s="3">
        <v>29</v>
      </c>
      <c r="T29" s="3">
        <v>309</v>
      </c>
      <c r="U29" s="3">
        <v>6</v>
      </c>
      <c r="V29" s="3">
        <v>65.686259608488598</v>
      </c>
      <c r="W29" s="3" t="s">
        <v>47</v>
      </c>
      <c r="X29" s="3">
        <f t="shared" si="1"/>
        <v>1489.4586338841548</v>
      </c>
      <c r="Y29" s="3">
        <v>4.2314165735345306E-2</v>
      </c>
      <c r="Z29" s="3">
        <v>4.2314165735345304</v>
      </c>
      <c r="AA29" s="3" t="s">
        <v>33</v>
      </c>
      <c r="AB29" s="3" t="s">
        <v>141</v>
      </c>
      <c r="AC29">
        <v>0.2125768919368563</v>
      </c>
      <c r="AD29">
        <v>37</v>
      </c>
      <c r="AE29">
        <v>2469.3560765810248</v>
      </c>
      <c r="AF29">
        <v>217.10114699495534</v>
      </c>
      <c r="AG29">
        <v>8.0813178445465442E-2</v>
      </c>
    </row>
    <row r="30" spans="1:33" x14ac:dyDescent="0.35">
      <c r="A30" s="5" t="s">
        <v>42</v>
      </c>
      <c r="B30" s="8" t="s">
        <v>65</v>
      </c>
      <c r="C30" s="3">
        <v>2.3972747055971402</v>
      </c>
      <c r="D30" s="3">
        <v>944.52623400527318</v>
      </c>
      <c r="E30" s="3">
        <v>-5172.7983810787164</v>
      </c>
      <c r="F30" s="3" t="str">
        <f t="shared" si="0"/>
        <v>Premium Markup</v>
      </c>
      <c r="G30" s="3">
        <v>12</v>
      </c>
      <c r="H30" s="3">
        <v>394</v>
      </c>
      <c r="I30" s="3">
        <v>6117.3246150839896</v>
      </c>
      <c r="J30" s="3" t="s">
        <v>30</v>
      </c>
      <c r="K30" s="3">
        <v>48</v>
      </c>
      <c r="L30" s="3">
        <v>15</v>
      </c>
      <c r="M30" s="3">
        <v>24</v>
      </c>
      <c r="N30" s="3">
        <v>4</v>
      </c>
      <c r="O30" s="3" t="s">
        <v>138</v>
      </c>
      <c r="P30" s="3">
        <v>9.8981405080692202</v>
      </c>
      <c r="Q30" s="3" t="s">
        <v>153</v>
      </c>
      <c r="R30" s="3" t="s">
        <v>146</v>
      </c>
      <c r="S30" s="3">
        <v>28</v>
      </c>
      <c r="T30" s="3">
        <v>177</v>
      </c>
      <c r="U30" s="3">
        <v>28</v>
      </c>
      <c r="V30" s="3">
        <v>14.1478154439792</v>
      </c>
      <c r="W30" s="3" t="s">
        <v>47</v>
      </c>
      <c r="X30" s="3">
        <f t="shared" si="1"/>
        <v>1113.3707102476512</v>
      </c>
      <c r="Y30" s="3">
        <v>2.8258139854001302E-2</v>
      </c>
      <c r="Z30" s="3">
        <v>2.8258139854001301</v>
      </c>
      <c r="AA30" s="3" t="s">
        <v>36</v>
      </c>
      <c r="AB30" s="3" t="s">
        <v>140</v>
      </c>
      <c r="AC30">
        <v>7.9931160700447451E-2</v>
      </c>
      <c r="AD30">
        <v>32</v>
      </c>
      <c r="AE30">
        <v>1684.4508425998852</v>
      </c>
      <c r="AF30">
        <v>4432.8737724841048</v>
      </c>
      <c r="AG30">
        <v>0.72464256049999443</v>
      </c>
    </row>
    <row r="31" spans="1:33" x14ac:dyDescent="0.35">
      <c r="A31" s="5" t="s">
        <v>42</v>
      </c>
      <c r="B31" s="8" t="s">
        <v>66</v>
      </c>
      <c r="C31" s="3">
        <v>63.447559185207297</v>
      </c>
      <c r="D31" s="3">
        <v>16052.232473857446</v>
      </c>
      <c r="E31" s="3">
        <v>7733.3292792402754</v>
      </c>
      <c r="F31" s="3" t="str">
        <f t="shared" si="0"/>
        <v>Discount Applied</v>
      </c>
      <c r="G31" s="3">
        <v>3</v>
      </c>
      <c r="H31" s="3">
        <v>253</v>
      </c>
      <c r="I31" s="3">
        <v>8318.9031946171708</v>
      </c>
      <c r="J31" s="3" t="s">
        <v>30</v>
      </c>
      <c r="K31" s="3">
        <v>45</v>
      </c>
      <c r="L31" s="3">
        <v>5</v>
      </c>
      <c r="M31" s="3">
        <v>67</v>
      </c>
      <c r="N31" s="3">
        <v>7</v>
      </c>
      <c r="O31" s="3" t="s">
        <v>138</v>
      </c>
      <c r="P31" s="3">
        <v>8.1009731453970293</v>
      </c>
      <c r="Q31" s="3" t="s">
        <v>153</v>
      </c>
      <c r="R31" s="3" t="s">
        <v>143</v>
      </c>
      <c r="S31" s="3">
        <v>13</v>
      </c>
      <c r="T31" s="3">
        <v>444</v>
      </c>
      <c r="U31" s="3">
        <v>4</v>
      </c>
      <c r="V31" s="3">
        <v>46.870238797617098</v>
      </c>
      <c r="W31" s="3" t="s">
        <v>35</v>
      </c>
      <c r="X31" s="3">
        <f t="shared" si="1"/>
        <v>1168.9981543219662</v>
      </c>
      <c r="Y31" s="3">
        <v>4.6205460645137003E-2</v>
      </c>
      <c r="Z31" s="3">
        <v>4.6205460645137002</v>
      </c>
      <c r="AA31" s="3" t="s">
        <v>27</v>
      </c>
      <c r="AB31" s="3" t="s">
        <v>140</v>
      </c>
      <c r="AC31">
        <v>0.105563600895534</v>
      </c>
      <c r="AD31">
        <v>20</v>
      </c>
      <c r="AE31">
        <v>4332.3640006482847</v>
      </c>
      <c r="AF31">
        <v>3986.5391939688861</v>
      </c>
      <c r="AG31">
        <v>0.47921451911454099</v>
      </c>
    </row>
    <row r="32" spans="1:33" x14ac:dyDescent="0.35">
      <c r="A32" s="5" t="s">
        <v>23</v>
      </c>
      <c r="B32" s="8" t="s">
        <v>67</v>
      </c>
      <c r="C32" s="3">
        <v>8.0228592105263896</v>
      </c>
      <c r="D32" s="3">
        <v>2623.4749618421292</v>
      </c>
      <c r="E32" s="3">
        <v>-142.8674050239506</v>
      </c>
      <c r="F32" s="3" t="str">
        <f t="shared" si="0"/>
        <v>Premium Markup</v>
      </c>
      <c r="G32" s="3">
        <v>10</v>
      </c>
      <c r="H32" s="3">
        <v>327</v>
      </c>
      <c r="I32" s="3">
        <v>2766.3423668660798</v>
      </c>
      <c r="J32" s="3" t="s">
        <v>40</v>
      </c>
      <c r="K32" s="3">
        <v>60</v>
      </c>
      <c r="L32" s="3">
        <v>26</v>
      </c>
      <c r="M32" s="3">
        <v>35</v>
      </c>
      <c r="N32" s="3">
        <v>7</v>
      </c>
      <c r="O32" s="3" t="s">
        <v>138</v>
      </c>
      <c r="P32" s="3">
        <v>8.9545283153180097</v>
      </c>
      <c r="Q32" s="3" t="s">
        <v>156</v>
      </c>
      <c r="R32" s="3" t="s">
        <v>147</v>
      </c>
      <c r="S32" s="3">
        <v>5</v>
      </c>
      <c r="T32" s="3">
        <v>228</v>
      </c>
      <c r="U32" s="3">
        <v>12</v>
      </c>
      <c r="V32" s="3">
        <v>57.870902924036201</v>
      </c>
      <c r="W32" s="3" t="s">
        <v>26</v>
      </c>
      <c r="X32" s="3">
        <f t="shared" si="1"/>
        <v>54.240022186158811</v>
      </c>
      <c r="Y32" s="3">
        <v>1.65871627480608E-3</v>
      </c>
      <c r="Z32" s="3">
        <v>0.16587162748060799</v>
      </c>
      <c r="AA32" s="3" t="s">
        <v>33</v>
      </c>
      <c r="AB32" s="3" t="s">
        <v>142</v>
      </c>
      <c r="AC32">
        <v>0.25381974966682547</v>
      </c>
      <c r="AD32">
        <v>12</v>
      </c>
      <c r="AE32">
        <v>1757.5210966751899</v>
      </c>
      <c r="AF32">
        <v>1008.8212701908899</v>
      </c>
      <c r="AG32">
        <v>0.36467694030719644</v>
      </c>
    </row>
    <row r="33" spans="1:33" x14ac:dyDescent="0.35">
      <c r="A33" s="5" t="s">
        <v>28</v>
      </c>
      <c r="B33" s="8" t="s">
        <v>68</v>
      </c>
      <c r="C33" s="3">
        <v>50.847393051718697</v>
      </c>
      <c r="D33" s="3">
        <v>8542.3620326887412</v>
      </c>
      <c r="E33" s="3">
        <v>-1112.7730700306493</v>
      </c>
      <c r="F33" s="3" t="str">
        <f t="shared" si="0"/>
        <v>Premium Markup</v>
      </c>
      <c r="G33" s="3">
        <v>28</v>
      </c>
      <c r="H33" s="3">
        <v>168</v>
      </c>
      <c r="I33" s="3">
        <v>9655.1351027193905</v>
      </c>
      <c r="J33" s="3" t="s">
        <v>40</v>
      </c>
      <c r="K33" s="3">
        <v>6</v>
      </c>
      <c r="L33" s="3">
        <v>17</v>
      </c>
      <c r="M33" s="3">
        <v>44</v>
      </c>
      <c r="N33" s="3">
        <v>4</v>
      </c>
      <c r="O33" s="3" t="s">
        <v>138</v>
      </c>
      <c r="P33" s="3">
        <v>2.6796609649813998</v>
      </c>
      <c r="Q33" s="3" t="s">
        <v>155</v>
      </c>
      <c r="R33" s="3" t="s">
        <v>146</v>
      </c>
      <c r="S33" s="3">
        <v>12</v>
      </c>
      <c r="T33" s="3">
        <v>908</v>
      </c>
      <c r="U33" s="3">
        <v>14</v>
      </c>
      <c r="V33" s="3">
        <v>60.387378614862101</v>
      </c>
      <c r="W33" s="3" t="s">
        <v>47</v>
      </c>
      <c r="X33" s="3">
        <f t="shared" si="1"/>
        <v>245.88605974342536</v>
      </c>
      <c r="Y33" s="3">
        <v>1.4636074984727701E-2</v>
      </c>
      <c r="Z33" s="3">
        <v>1.4636074984727701</v>
      </c>
      <c r="AA33" s="3" t="s">
        <v>36</v>
      </c>
      <c r="AB33" s="3" t="s">
        <v>141</v>
      </c>
      <c r="AC33">
        <v>6.6505923584649893E-2</v>
      </c>
      <c r="AD33">
        <v>16</v>
      </c>
      <c r="AE33">
        <v>4233.3262849334697</v>
      </c>
      <c r="AF33">
        <v>5421.8088177859208</v>
      </c>
      <c r="AG33">
        <v>0.56154665471836396</v>
      </c>
    </row>
    <row r="34" spans="1:33" x14ac:dyDescent="0.35">
      <c r="A34" s="5" t="s">
        <v>28</v>
      </c>
      <c r="B34" s="8" t="s">
        <v>69</v>
      </c>
      <c r="C34" s="3">
        <v>79.209936015656695</v>
      </c>
      <c r="D34" s="3">
        <v>61862.960028227877</v>
      </c>
      <c r="E34" s="3">
        <v>52291.409540900066</v>
      </c>
      <c r="F34" s="3" t="str">
        <f t="shared" si="0"/>
        <v>Discount Applied</v>
      </c>
      <c r="G34" s="3">
        <v>43</v>
      </c>
      <c r="H34" s="3">
        <v>781</v>
      </c>
      <c r="I34" s="3">
        <v>9571.5504873278096</v>
      </c>
      <c r="J34" s="3" t="s">
        <v>32</v>
      </c>
      <c r="K34" s="3">
        <v>89</v>
      </c>
      <c r="L34" s="3">
        <v>13</v>
      </c>
      <c r="M34" s="3">
        <v>64</v>
      </c>
      <c r="N34" s="3">
        <v>4</v>
      </c>
      <c r="O34" s="3" t="s">
        <v>139</v>
      </c>
      <c r="P34" s="3">
        <v>6.5991049012385803</v>
      </c>
      <c r="Q34" s="3" t="s">
        <v>155</v>
      </c>
      <c r="R34" s="3" t="s">
        <v>145</v>
      </c>
      <c r="S34" s="3">
        <v>14</v>
      </c>
      <c r="T34" s="3">
        <v>314</v>
      </c>
      <c r="U34" s="3">
        <v>24</v>
      </c>
      <c r="V34" s="3">
        <v>1.0850685695870601</v>
      </c>
      <c r="W34" s="3" t="s">
        <v>26</v>
      </c>
      <c r="X34" s="3">
        <f t="shared" si="1"/>
        <v>781.71119367652545</v>
      </c>
      <c r="Y34" s="3">
        <v>1.00091061930413E-2</v>
      </c>
      <c r="Z34" s="3">
        <v>1.0009106193041299</v>
      </c>
      <c r="AA34" s="3" t="s">
        <v>41</v>
      </c>
      <c r="AB34" s="3" t="s">
        <v>140</v>
      </c>
      <c r="AC34">
        <v>3.4556323872199368E-3</v>
      </c>
      <c r="AD34">
        <v>18</v>
      </c>
      <c r="AE34">
        <v>671.84548430515508</v>
      </c>
      <c r="AF34">
        <v>8899.7050030226546</v>
      </c>
      <c r="AG34">
        <v>0.92980808227521339</v>
      </c>
    </row>
    <row r="35" spans="1:33" x14ac:dyDescent="0.35">
      <c r="A35" s="5" t="s">
        <v>42</v>
      </c>
      <c r="B35" s="8" t="s">
        <v>70</v>
      </c>
      <c r="C35" s="3">
        <v>64.795435000155607</v>
      </c>
      <c r="D35" s="3">
        <v>39913.987960095852</v>
      </c>
      <c r="E35" s="3">
        <v>34763.989609687822</v>
      </c>
      <c r="F35" s="3" t="str">
        <f t="shared" si="0"/>
        <v>Discount Applied</v>
      </c>
      <c r="G35" s="3">
        <v>63</v>
      </c>
      <c r="H35" s="3">
        <v>616</v>
      </c>
      <c r="I35" s="3">
        <v>5149.9983504080301</v>
      </c>
      <c r="J35" s="3" t="s">
        <v>25</v>
      </c>
      <c r="K35" s="3">
        <v>4</v>
      </c>
      <c r="L35" s="3">
        <v>17</v>
      </c>
      <c r="M35" s="3">
        <v>95</v>
      </c>
      <c r="N35" s="3">
        <v>9</v>
      </c>
      <c r="O35" s="3" t="s">
        <v>139</v>
      </c>
      <c r="P35" s="3">
        <v>4.85827050343664</v>
      </c>
      <c r="Q35" s="3" t="s">
        <v>157</v>
      </c>
      <c r="R35" s="3" t="s">
        <v>145</v>
      </c>
      <c r="S35" s="3">
        <v>24</v>
      </c>
      <c r="T35" s="3">
        <v>937</v>
      </c>
      <c r="U35" s="3">
        <v>18</v>
      </c>
      <c r="V35" s="3">
        <v>35.624741397125</v>
      </c>
      <c r="W35" s="3" t="s">
        <v>35</v>
      </c>
      <c r="X35" s="3">
        <f t="shared" si="1"/>
        <v>2923.9355503190136</v>
      </c>
      <c r="Y35" s="3">
        <v>4.7466486206477497E-2</v>
      </c>
      <c r="Z35" s="3">
        <v>4.7466486206477496</v>
      </c>
      <c r="AA35" s="3" t="s">
        <v>36</v>
      </c>
      <c r="AB35" s="3" t="s">
        <v>140</v>
      </c>
      <c r="AC35">
        <v>3.8020001491061897E-2</v>
      </c>
      <c r="AD35">
        <v>33</v>
      </c>
      <c r="AE35">
        <v>1273.88079609643</v>
      </c>
      <c r="AF35">
        <v>3876.1175543116001</v>
      </c>
      <c r="AG35">
        <v>0.7526444263820975</v>
      </c>
    </row>
    <row r="36" spans="1:33" x14ac:dyDescent="0.35">
      <c r="A36" s="5" t="s">
        <v>28</v>
      </c>
      <c r="B36" s="8" t="s">
        <v>71</v>
      </c>
      <c r="C36" s="3">
        <v>37.467592329842397</v>
      </c>
      <c r="D36" s="3">
        <v>22555.490582565122</v>
      </c>
      <c r="E36" s="3">
        <v>13493.779687057402</v>
      </c>
      <c r="F36" s="3" t="str">
        <f t="shared" si="0"/>
        <v>Discount Applied</v>
      </c>
      <c r="G36" s="3">
        <v>96</v>
      </c>
      <c r="H36" s="3">
        <v>602</v>
      </c>
      <c r="I36" s="3">
        <v>9061.7108955077201</v>
      </c>
      <c r="J36" s="3" t="s">
        <v>32</v>
      </c>
      <c r="K36" s="3">
        <v>1</v>
      </c>
      <c r="L36" s="3">
        <v>26</v>
      </c>
      <c r="M36" s="3">
        <v>21</v>
      </c>
      <c r="N36" s="3">
        <v>7</v>
      </c>
      <c r="O36" s="3" t="s">
        <v>137</v>
      </c>
      <c r="P36" s="3">
        <v>1.0194875708221101</v>
      </c>
      <c r="Q36" s="3" t="s">
        <v>153</v>
      </c>
      <c r="R36" s="3" t="s">
        <v>144</v>
      </c>
      <c r="S36" s="3">
        <v>28</v>
      </c>
      <c r="T36" s="3">
        <v>648</v>
      </c>
      <c r="U36" s="3">
        <v>28</v>
      </c>
      <c r="V36" s="3">
        <v>17.803756331391199</v>
      </c>
      <c r="W36" s="3" t="s">
        <v>26</v>
      </c>
      <c r="X36" s="3">
        <f t="shared" si="1"/>
        <v>2330.9727042522422</v>
      </c>
      <c r="Y36" s="3">
        <v>3.8720476814821297E-2</v>
      </c>
      <c r="Z36" s="3">
        <v>3.8720476814821301</v>
      </c>
      <c r="AA36" s="3" t="s">
        <v>27</v>
      </c>
      <c r="AB36" s="3" t="s">
        <v>140</v>
      </c>
      <c r="AC36">
        <v>2.7474932610171605E-2</v>
      </c>
      <c r="AD36">
        <v>35</v>
      </c>
      <c r="AE36">
        <v>943.71070574528005</v>
      </c>
      <c r="AF36">
        <v>8118.0001897624397</v>
      </c>
      <c r="AG36">
        <v>0.89585733680677027</v>
      </c>
    </row>
    <row r="37" spans="1:33" x14ac:dyDescent="0.35">
      <c r="A37" s="5" t="s">
        <v>42</v>
      </c>
      <c r="B37" s="8" t="s">
        <v>72</v>
      </c>
      <c r="C37" s="3">
        <v>84.957786816350406</v>
      </c>
      <c r="D37" s="3">
        <v>38146.046280541334</v>
      </c>
      <c r="E37" s="3">
        <v>31604.716935738874</v>
      </c>
      <c r="F37" s="3" t="str">
        <f t="shared" si="0"/>
        <v>Discount Applied</v>
      </c>
      <c r="G37" s="3">
        <v>11</v>
      </c>
      <c r="H37" s="3">
        <v>449</v>
      </c>
      <c r="I37" s="3">
        <v>6541.3293448024597</v>
      </c>
      <c r="J37" s="3" t="s">
        <v>30</v>
      </c>
      <c r="K37" s="3">
        <v>42</v>
      </c>
      <c r="L37" s="3">
        <v>27</v>
      </c>
      <c r="M37" s="3">
        <v>85</v>
      </c>
      <c r="N37" s="3">
        <v>8</v>
      </c>
      <c r="O37" s="3" t="s">
        <v>139</v>
      </c>
      <c r="P37" s="3">
        <v>5.2881899903273997</v>
      </c>
      <c r="Q37" s="3" t="s">
        <v>153</v>
      </c>
      <c r="R37" s="3" t="s">
        <v>146</v>
      </c>
      <c r="S37" s="3">
        <v>26</v>
      </c>
      <c r="T37" s="3">
        <v>671</v>
      </c>
      <c r="U37" s="3">
        <v>19</v>
      </c>
      <c r="V37" s="3">
        <v>45.531364237162101</v>
      </c>
      <c r="W37" s="3" t="s">
        <v>35</v>
      </c>
      <c r="X37" s="3">
        <f t="shared" si="1"/>
        <v>1708.6844872802642</v>
      </c>
      <c r="Y37" s="3">
        <v>3.8055333792433504E-2</v>
      </c>
      <c r="Z37" s="3">
        <v>3.8055333792433501</v>
      </c>
      <c r="AA37" s="3" t="s">
        <v>33</v>
      </c>
      <c r="AB37" s="3" t="s">
        <v>142</v>
      </c>
      <c r="AC37">
        <v>6.7855982469690171E-2</v>
      </c>
      <c r="AD37">
        <v>34</v>
      </c>
      <c r="AE37">
        <v>2019.0448712409</v>
      </c>
      <c r="AF37">
        <v>4522.2844735615599</v>
      </c>
      <c r="AG37">
        <v>0.6913402819496971</v>
      </c>
    </row>
    <row r="38" spans="1:33" x14ac:dyDescent="0.35">
      <c r="A38" s="5" t="s">
        <v>28</v>
      </c>
      <c r="B38" s="8" t="s">
        <v>73</v>
      </c>
      <c r="C38" s="3">
        <v>9.81300257875405</v>
      </c>
      <c r="D38" s="3">
        <v>9449.9214833401493</v>
      </c>
      <c r="E38" s="3">
        <v>1876.5190254914196</v>
      </c>
      <c r="F38" s="3" t="str">
        <f t="shared" si="0"/>
        <v>Discount Applied</v>
      </c>
      <c r="G38" s="3">
        <v>34</v>
      </c>
      <c r="H38" s="3">
        <v>963</v>
      </c>
      <c r="I38" s="3">
        <v>7573.4024578487297</v>
      </c>
      <c r="J38" s="3" t="s">
        <v>30</v>
      </c>
      <c r="K38" s="3">
        <v>18</v>
      </c>
      <c r="L38" s="3">
        <v>23</v>
      </c>
      <c r="M38" s="3">
        <v>28</v>
      </c>
      <c r="N38" s="3">
        <v>3</v>
      </c>
      <c r="O38" s="3" t="s">
        <v>138</v>
      </c>
      <c r="P38" s="3">
        <v>2.1079512671590801</v>
      </c>
      <c r="Q38" s="3" t="s">
        <v>154</v>
      </c>
      <c r="R38" s="3" t="s">
        <v>144</v>
      </c>
      <c r="S38" s="3">
        <v>13</v>
      </c>
      <c r="T38" s="3">
        <v>769</v>
      </c>
      <c r="U38" s="3">
        <v>8</v>
      </c>
      <c r="V38" s="3">
        <v>11.423027139565599</v>
      </c>
      <c r="W38" s="3" t="s">
        <v>26</v>
      </c>
      <c r="X38" s="3">
        <f t="shared" si="1"/>
        <v>2609.5977715388917</v>
      </c>
      <c r="Y38" s="3">
        <v>2.7098626911099603E-2</v>
      </c>
      <c r="Z38" s="3">
        <v>2.7098626911099601</v>
      </c>
      <c r="AA38" s="3" t="s">
        <v>41</v>
      </c>
      <c r="AB38" s="3" t="s">
        <v>141</v>
      </c>
      <c r="AC38">
        <v>1.4854391598914954E-2</v>
      </c>
      <c r="AD38">
        <v>16</v>
      </c>
      <c r="AE38">
        <v>2527.7856711273198</v>
      </c>
      <c r="AF38">
        <v>5045.6167867214099</v>
      </c>
      <c r="AG38">
        <v>0.66622853001722659</v>
      </c>
    </row>
    <row r="39" spans="1:33" x14ac:dyDescent="0.35">
      <c r="A39" s="5" t="s">
        <v>28</v>
      </c>
      <c r="B39" s="8" t="s">
        <v>74</v>
      </c>
      <c r="C39" s="3">
        <v>23.3998447526143</v>
      </c>
      <c r="D39" s="3">
        <v>22534.05049676757</v>
      </c>
      <c r="E39" s="3">
        <v>20095.710566297548</v>
      </c>
      <c r="F39" s="3" t="str">
        <f t="shared" si="0"/>
        <v>Discount Applied</v>
      </c>
      <c r="G39" s="3">
        <v>5</v>
      </c>
      <c r="H39" s="3">
        <v>963</v>
      </c>
      <c r="I39" s="3">
        <v>2438.3399304700201</v>
      </c>
      <c r="J39" s="3" t="s">
        <v>30</v>
      </c>
      <c r="K39" s="3">
        <v>25</v>
      </c>
      <c r="L39" s="3">
        <v>8</v>
      </c>
      <c r="M39" s="3">
        <v>21</v>
      </c>
      <c r="N39" s="3">
        <v>9</v>
      </c>
      <c r="O39" s="3" t="s">
        <v>137</v>
      </c>
      <c r="P39" s="3">
        <v>1.53265527359043</v>
      </c>
      <c r="Q39" s="3" t="s">
        <v>155</v>
      </c>
      <c r="R39" s="3" t="s">
        <v>144</v>
      </c>
      <c r="S39" s="3">
        <v>23</v>
      </c>
      <c r="T39" s="3">
        <v>517</v>
      </c>
      <c r="U39" s="3">
        <v>30</v>
      </c>
      <c r="V39" s="3">
        <v>33.616768953730002</v>
      </c>
      <c r="W39" s="3" t="s">
        <v>26</v>
      </c>
      <c r="X39" s="3">
        <f t="shared" si="1"/>
        <v>4674.4675094123177</v>
      </c>
      <c r="Y39" s="3">
        <v>4.8540680263886998E-2</v>
      </c>
      <c r="Z39" s="3">
        <v>4.8540680263886999</v>
      </c>
      <c r="AA39" s="3" t="s">
        <v>27</v>
      </c>
      <c r="AB39" s="3" t="s">
        <v>141</v>
      </c>
      <c r="AC39">
        <v>6.5022763933713743E-2</v>
      </c>
      <c r="AD39">
        <v>32</v>
      </c>
      <c r="AE39">
        <v>2515.3278957483453</v>
      </c>
      <c r="AF39">
        <v>-76.987965278325191</v>
      </c>
      <c r="AG39">
        <v>-3.1573926307922461E-2</v>
      </c>
    </row>
    <row r="40" spans="1:33" x14ac:dyDescent="0.35">
      <c r="A40" s="5" t="s">
        <v>42</v>
      </c>
      <c r="B40" s="8" t="s">
        <v>75</v>
      </c>
      <c r="C40" s="3">
        <v>52.075930682707799</v>
      </c>
      <c r="D40" s="3">
        <v>36713.531131308999</v>
      </c>
      <c r="E40" s="3">
        <v>27021.213091090569</v>
      </c>
      <c r="F40" s="3" t="str">
        <f t="shared" si="0"/>
        <v>Discount Applied</v>
      </c>
      <c r="G40" s="3">
        <v>75</v>
      </c>
      <c r="H40" s="3">
        <v>705</v>
      </c>
      <c r="I40" s="3">
        <v>9692.3180402184298</v>
      </c>
      <c r="J40" s="3" t="s">
        <v>25</v>
      </c>
      <c r="K40" s="3">
        <v>69</v>
      </c>
      <c r="L40" s="3">
        <v>1</v>
      </c>
      <c r="M40" s="3">
        <v>88</v>
      </c>
      <c r="N40" s="3">
        <v>5</v>
      </c>
      <c r="O40" s="3" t="s">
        <v>138</v>
      </c>
      <c r="P40" s="3">
        <v>9.2359314372492207</v>
      </c>
      <c r="Q40" s="3" t="s">
        <v>157</v>
      </c>
      <c r="R40" s="3" t="s">
        <v>144</v>
      </c>
      <c r="S40" s="3">
        <v>9</v>
      </c>
      <c r="T40" s="3">
        <v>109</v>
      </c>
      <c r="U40" s="3">
        <v>18</v>
      </c>
      <c r="V40" s="3">
        <v>23.126363582464698</v>
      </c>
      <c r="W40" s="3" t="s">
        <v>35</v>
      </c>
      <c r="X40" s="3">
        <f t="shared" si="1"/>
        <v>1197.169341203652</v>
      </c>
      <c r="Y40" s="3">
        <v>1.6981125407143999E-2</v>
      </c>
      <c r="Z40" s="3">
        <v>1.6981125407144</v>
      </c>
      <c r="AA40" s="3" t="s">
        <v>36</v>
      </c>
      <c r="AB40" s="3" t="s">
        <v>141</v>
      </c>
      <c r="AC40">
        <v>0.21216847323362109</v>
      </c>
      <c r="AD40">
        <v>14</v>
      </c>
      <c r="AE40">
        <v>3843.2595697718498</v>
      </c>
      <c r="AF40">
        <v>5849.05847044658</v>
      </c>
      <c r="AG40">
        <v>0.60347364233982193</v>
      </c>
    </row>
    <row r="41" spans="1:33" x14ac:dyDescent="0.35">
      <c r="A41" s="5" t="s">
        <v>28</v>
      </c>
      <c r="B41" s="8" t="s">
        <v>76</v>
      </c>
      <c r="C41" s="3">
        <v>19.127477265823199</v>
      </c>
      <c r="D41" s="3">
        <v>3366.4359987848829</v>
      </c>
      <c r="E41" s="3">
        <v>1453.970335684123</v>
      </c>
      <c r="F41" s="3" t="str">
        <f t="shared" si="0"/>
        <v>Discount Applied</v>
      </c>
      <c r="G41" s="3">
        <v>26</v>
      </c>
      <c r="H41" s="3">
        <v>176</v>
      </c>
      <c r="I41" s="3">
        <v>1912.4656631007599</v>
      </c>
      <c r="J41" s="3" t="s">
        <v>30</v>
      </c>
      <c r="K41" s="3">
        <v>78</v>
      </c>
      <c r="L41" s="3">
        <v>29</v>
      </c>
      <c r="M41" s="3">
        <v>34</v>
      </c>
      <c r="N41" s="3">
        <v>3</v>
      </c>
      <c r="O41" s="3" t="s">
        <v>137</v>
      </c>
      <c r="P41" s="3">
        <v>5.5625037788303802</v>
      </c>
      <c r="Q41" s="3" t="s">
        <v>154</v>
      </c>
      <c r="R41" s="3" t="s">
        <v>144</v>
      </c>
      <c r="S41" s="3">
        <v>18</v>
      </c>
      <c r="T41" s="3">
        <v>450</v>
      </c>
      <c r="U41" s="3">
        <v>26</v>
      </c>
      <c r="V41" s="3">
        <v>58.890685768589897</v>
      </c>
      <c r="W41" s="3" t="s">
        <v>26</v>
      </c>
      <c r="X41" s="3">
        <f t="shared" si="1"/>
        <v>213.11525480697057</v>
      </c>
      <c r="Y41" s="3">
        <v>1.21088212958506E-2</v>
      </c>
      <c r="Z41" s="3">
        <v>1.21088212958506</v>
      </c>
      <c r="AA41" s="3" t="s">
        <v>33</v>
      </c>
      <c r="AB41" s="3" t="s">
        <v>140</v>
      </c>
      <c r="AC41">
        <v>0.13086819059686644</v>
      </c>
      <c r="AD41">
        <v>21</v>
      </c>
      <c r="AE41">
        <v>3894.3212068832349</v>
      </c>
      <c r="AF41">
        <v>-1981.855543782475</v>
      </c>
      <c r="AG41">
        <v>-1.0362829419740851</v>
      </c>
    </row>
    <row r="42" spans="1:33" x14ac:dyDescent="0.35">
      <c r="A42" s="5" t="s">
        <v>28</v>
      </c>
      <c r="B42" s="8" t="s">
        <v>77</v>
      </c>
      <c r="C42" s="3">
        <v>80.541424170940303</v>
      </c>
      <c r="D42" s="3">
        <v>75145.148751487301</v>
      </c>
      <c r="E42" s="3">
        <v>69420.189401031035</v>
      </c>
      <c r="F42" s="3" t="str">
        <f t="shared" si="0"/>
        <v>Discount Applied</v>
      </c>
      <c r="G42" s="3">
        <v>97</v>
      </c>
      <c r="H42" s="3">
        <v>933</v>
      </c>
      <c r="I42" s="3">
        <v>5724.9593504562599</v>
      </c>
      <c r="J42" s="3" t="s">
        <v>30</v>
      </c>
      <c r="K42" s="3">
        <v>90</v>
      </c>
      <c r="L42" s="3">
        <v>20</v>
      </c>
      <c r="M42" s="3">
        <v>39</v>
      </c>
      <c r="N42" s="3">
        <v>8</v>
      </c>
      <c r="O42" s="3" t="s">
        <v>139</v>
      </c>
      <c r="P42" s="3">
        <v>7.2295951397364702</v>
      </c>
      <c r="Q42" s="3" t="s">
        <v>153</v>
      </c>
      <c r="R42" s="3" t="s">
        <v>146</v>
      </c>
      <c r="S42" s="3">
        <v>7</v>
      </c>
      <c r="T42" s="3">
        <v>834</v>
      </c>
      <c r="U42" s="3">
        <v>18</v>
      </c>
      <c r="V42" s="3">
        <v>22.554106620887701</v>
      </c>
      <c r="W42" s="3" t="s">
        <v>35</v>
      </c>
      <c r="X42" s="3">
        <f t="shared" si="1"/>
        <v>2764.1303569844031</v>
      </c>
      <c r="Y42" s="3">
        <v>2.9626263204548801E-2</v>
      </c>
      <c r="Z42" s="3">
        <v>2.9626263204548802</v>
      </c>
      <c r="AA42" s="3" t="s">
        <v>36</v>
      </c>
      <c r="AB42" s="3" t="s">
        <v>140</v>
      </c>
      <c r="AC42">
        <v>2.7043293310416907E-2</v>
      </c>
      <c r="AD42">
        <v>15</v>
      </c>
      <c r="AE42">
        <v>3052.2663480961346</v>
      </c>
      <c r="AF42">
        <v>2672.6930023601253</v>
      </c>
      <c r="AG42">
        <v>0.46684925407323996</v>
      </c>
    </row>
    <row r="43" spans="1:33" x14ac:dyDescent="0.35">
      <c r="A43" s="5" t="s">
        <v>28</v>
      </c>
      <c r="B43" s="8" t="s">
        <v>78</v>
      </c>
      <c r="C43" s="3">
        <v>99.113291615317095</v>
      </c>
      <c r="D43" s="3">
        <v>55106.990138116307</v>
      </c>
      <c r="E43" s="3">
        <v>49585.78487910534</v>
      </c>
      <c r="F43" s="3" t="str">
        <f t="shared" si="0"/>
        <v>Discount Applied</v>
      </c>
      <c r="G43" s="3">
        <v>35</v>
      </c>
      <c r="H43" s="3">
        <v>556</v>
      </c>
      <c r="I43" s="3">
        <v>5521.2052590109697</v>
      </c>
      <c r="J43" s="3" t="s">
        <v>30</v>
      </c>
      <c r="K43" s="3">
        <v>64</v>
      </c>
      <c r="L43" s="3">
        <v>19</v>
      </c>
      <c r="M43" s="3">
        <v>38</v>
      </c>
      <c r="N43" s="3">
        <v>8</v>
      </c>
      <c r="O43" s="3" t="s">
        <v>138</v>
      </c>
      <c r="P43" s="3">
        <v>5.7732637437666501</v>
      </c>
      <c r="Q43" s="3" t="s">
        <v>156</v>
      </c>
      <c r="R43" s="3" t="s">
        <v>145</v>
      </c>
      <c r="S43" s="3">
        <v>10</v>
      </c>
      <c r="T43" s="3">
        <v>964</v>
      </c>
      <c r="U43" s="3">
        <v>20</v>
      </c>
      <c r="V43" s="3">
        <v>19.7129929112936</v>
      </c>
      <c r="W43" s="3" t="s">
        <v>26</v>
      </c>
      <c r="X43" s="3">
        <f t="shared" si="1"/>
        <v>211.59891421254642</v>
      </c>
      <c r="Y43" s="3">
        <v>3.8057358671321302E-3</v>
      </c>
      <c r="Z43" s="3">
        <v>0.38057358671321301</v>
      </c>
      <c r="AA43" s="3" t="s">
        <v>36</v>
      </c>
      <c r="AB43" s="3" t="s">
        <v>140</v>
      </c>
      <c r="AC43">
        <v>2.0449162771051452E-2</v>
      </c>
      <c r="AD43">
        <v>18</v>
      </c>
      <c r="AE43">
        <v>2908.01177525293</v>
      </c>
      <c r="AF43">
        <v>2613.1934837580397</v>
      </c>
      <c r="AG43">
        <v>0.47330127411820749</v>
      </c>
    </row>
    <row r="44" spans="1:33" x14ac:dyDescent="0.35">
      <c r="A44" s="5" t="s">
        <v>28</v>
      </c>
      <c r="B44" s="8" t="s">
        <v>79</v>
      </c>
      <c r="C44" s="3">
        <v>46.529167614516702</v>
      </c>
      <c r="D44" s="3">
        <v>7212.0209802500885</v>
      </c>
      <c r="E44" s="3">
        <v>5372.4115543933285</v>
      </c>
      <c r="F44" s="3" t="str">
        <f t="shared" si="0"/>
        <v>Discount Applied</v>
      </c>
      <c r="G44" s="3">
        <v>98</v>
      </c>
      <c r="H44" s="3">
        <v>155</v>
      </c>
      <c r="I44" s="3">
        <v>1839.60942585676</v>
      </c>
      <c r="J44" s="3" t="s">
        <v>30</v>
      </c>
      <c r="K44" s="3">
        <v>22</v>
      </c>
      <c r="L44" s="3">
        <v>27</v>
      </c>
      <c r="M44" s="3">
        <v>57</v>
      </c>
      <c r="N44" s="3">
        <v>4</v>
      </c>
      <c r="O44" s="3" t="s">
        <v>139</v>
      </c>
      <c r="P44" s="3">
        <v>7.5262483268515004</v>
      </c>
      <c r="Q44" s="3" t="s">
        <v>157</v>
      </c>
      <c r="R44" s="3" t="s">
        <v>143</v>
      </c>
      <c r="S44" s="3">
        <v>19</v>
      </c>
      <c r="T44" s="3">
        <v>791</v>
      </c>
      <c r="U44" s="3">
        <v>4</v>
      </c>
      <c r="V44" s="3">
        <v>61.735728954160898</v>
      </c>
      <c r="W44" s="3" t="s">
        <v>26</v>
      </c>
      <c r="X44" s="3">
        <f t="shared" si="1"/>
        <v>2.8841729828073093</v>
      </c>
      <c r="Y44" s="3">
        <v>1.8607567631014898E-4</v>
      </c>
      <c r="Z44" s="3">
        <v>1.8607567631014899E-2</v>
      </c>
      <c r="AA44" s="3" t="s">
        <v>33</v>
      </c>
      <c r="AB44" s="3" t="s">
        <v>142</v>
      </c>
      <c r="AC44">
        <v>7.8047697792870921E-2</v>
      </c>
      <c r="AD44">
        <v>23</v>
      </c>
      <c r="AE44">
        <v>2616.8045736007898</v>
      </c>
      <c r="AF44">
        <v>-777.19514774402978</v>
      </c>
      <c r="AG44">
        <v>-0.42247834612070834</v>
      </c>
    </row>
    <row r="45" spans="1:33" x14ac:dyDescent="0.35">
      <c r="A45" s="5" t="s">
        <v>23</v>
      </c>
      <c r="B45" s="8" t="s">
        <v>80</v>
      </c>
      <c r="C45" s="3">
        <v>11.7432717763092</v>
      </c>
      <c r="D45" s="3">
        <v>7022.4765222329015</v>
      </c>
      <c r="E45" s="3">
        <v>1285.0509231138813</v>
      </c>
      <c r="F45" s="3" t="str">
        <f t="shared" si="0"/>
        <v>Discount Applied</v>
      </c>
      <c r="G45" s="3">
        <v>6</v>
      </c>
      <c r="H45" s="3">
        <v>598</v>
      </c>
      <c r="I45" s="3">
        <v>5737.4255991190203</v>
      </c>
      <c r="J45" s="3" t="s">
        <v>32</v>
      </c>
      <c r="K45" s="3">
        <v>36</v>
      </c>
      <c r="L45" s="3">
        <v>29</v>
      </c>
      <c r="M45" s="3">
        <v>85</v>
      </c>
      <c r="N45" s="3">
        <v>9</v>
      </c>
      <c r="O45" s="3" t="s">
        <v>138</v>
      </c>
      <c r="P45" s="3">
        <v>3.6940212683884499</v>
      </c>
      <c r="Q45" s="3" t="s">
        <v>157</v>
      </c>
      <c r="R45" s="3" t="s">
        <v>147</v>
      </c>
      <c r="S45" s="3">
        <v>22</v>
      </c>
      <c r="T45" s="3">
        <v>775</v>
      </c>
      <c r="U45" s="3">
        <v>16</v>
      </c>
      <c r="V45" s="3">
        <v>11.440781823761199</v>
      </c>
      <c r="W45" s="3" t="s">
        <v>47</v>
      </c>
      <c r="X45" s="3">
        <f t="shared" si="1"/>
        <v>1094.6842079701137</v>
      </c>
      <c r="Y45" s="3">
        <v>1.8305755986122302E-2</v>
      </c>
      <c r="Z45" s="3">
        <v>1.8305755986122301</v>
      </c>
      <c r="AA45" s="3" t="s">
        <v>27</v>
      </c>
      <c r="AB45" s="3" t="s">
        <v>142</v>
      </c>
      <c r="AC45">
        <v>1.4762299127433806E-2</v>
      </c>
      <c r="AD45">
        <v>31</v>
      </c>
      <c r="AE45">
        <v>916.36449374355493</v>
      </c>
      <c r="AF45">
        <v>4821.0611053754656</v>
      </c>
      <c r="AG45">
        <v>0.84028298443046268</v>
      </c>
    </row>
    <row r="46" spans="1:33" x14ac:dyDescent="0.35">
      <c r="A46" s="5" t="s">
        <v>42</v>
      </c>
      <c r="B46" s="8" t="s">
        <v>81</v>
      </c>
      <c r="C46" s="3">
        <v>51.355790913110297</v>
      </c>
      <c r="D46" s="3">
        <v>47195.971849148365</v>
      </c>
      <c r="E46" s="3">
        <v>40043.685799712854</v>
      </c>
      <c r="F46" s="3" t="str">
        <f t="shared" si="0"/>
        <v>Discount Applied</v>
      </c>
      <c r="G46" s="3">
        <v>34</v>
      </c>
      <c r="H46" s="3">
        <v>919</v>
      </c>
      <c r="I46" s="3">
        <v>7152.28604943551</v>
      </c>
      <c r="J46" s="3" t="s">
        <v>30</v>
      </c>
      <c r="K46" s="3">
        <v>13</v>
      </c>
      <c r="L46" s="3">
        <v>19</v>
      </c>
      <c r="M46" s="3">
        <v>72</v>
      </c>
      <c r="N46" s="3">
        <v>6</v>
      </c>
      <c r="O46" s="3" t="s">
        <v>139</v>
      </c>
      <c r="P46" s="3">
        <v>7.5774496573766896</v>
      </c>
      <c r="Q46" s="3" t="s">
        <v>154</v>
      </c>
      <c r="R46" s="3" t="s">
        <v>145</v>
      </c>
      <c r="S46" s="3">
        <v>14</v>
      </c>
      <c r="T46" s="3">
        <v>480</v>
      </c>
      <c r="U46" s="3">
        <v>12</v>
      </c>
      <c r="V46" s="3">
        <v>78.702393968878894</v>
      </c>
      <c r="W46" s="3" t="s">
        <v>35</v>
      </c>
      <c r="X46" s="3">
        <f t="shared" si="1"/>
        <v>4013.7054246104412</v>
      </c>
      <c r="Y46" s="3">
        <v>4.3674705382050504E-2</v>
      </c>
      <c r="Z46" s="3">
        <v>4.3674705382050503</v>
      </c>
      <c r="AA46" s="3" t="s">
        <v>33</v>
      </c>
      <c r="AB46" s="3" t="s">
        <v>140</v>
      </c>
      <c r="AC46">
        <v>0.16396332076849771</v>
      </c>
      <c r="AD46">
        <v>20</v>
      </c>
      <c r="AE46">
        <v>821.83264121709499</v>
      </c>
      <c r="AF46">
        <v>6330.4534082184146</v>
      </c>
      <c r="AG46">
        <v>0.8850951100757557</v>
      </c>
    </row>
    <row r="47" spans="1:33" x14ac:dyDescent="0.35">
      <c r="A47" s="5" t="s">
        <v>23</v>
      </c>
      <c r="B47" s="8" t="s">
        <v>82</v>
      </c>
      <c r="C47" s="3">
        <v>33.784138033065503</v>
      </c>
      <c r="D47" s="3">
        <v>810.81931279357207</v>
      </c>
      <c r="E47" s="3">
        <v>-4457.1374947169479</v>
      </c>
      <c r="F47" s="3" t="str">
        <f t="shared" si="0"/>
        <v>Premium Markup</v>
      </c>
      <c r="G47" s="3">
        <v>1</v>
      </c>
      <c r="H47" s="3">
        <v>24</v>
      </c>
      <c r="I47" s="3">
        <v>5267.9568075105199</v>
      </c>
      <c r="J47" s="3" t="s">
        <v>40</v>
      </c>
      <c r="K47" s="3">
        <v>93</v>
      </c>
      <c r="L47" s="3">
        <v>7</v>
      </c>
      <c r="M47" s="3">
        <v>52</v>
      </c>
      <c r="N47" s="3">
        <v>6</v>
      </c>
      <c r="O47" s="3" t="s">
        <v>138</v>
      </c>
      <c r="P47" s="3">
        <v>5.2151550087119096</v>
      </c>
      <c r="Q47" s="3" t="s">
        <v>154</v>
      </c>
      <c r="R47" s="3" t="s">
        <v>146</v>
      </c>
      <c r="S47" s="3">
        <v>3</v>
      </c>
      <c r="T47" s="3">
        <v>367</v>
      </c>
      <c r="U47" s="3">
        <v>2</v>
      </c>
      <c r="V47" s="3">
        <v>58.004787044743701</v>
      </c>
      <c r="W47" s="3" t="s">
        <v>47</v>
      </c>
      <c r="X47" s="3">
        <f t="shared" si="1"/>
        <v>12.987698353453943</v>
      </c>
      <c r="Y47" s="3">
        <v>5.4115409806058104E-3</v>
      </c>
      <c r="Z47" s="3">
        <v>0.54115409806058101</v>
      </c>
      <c r="AA47" s="3" t="s">
        <v>41</v>
      </c>
      <c r="AB47" s="3" t="s">
        <v>142</v>
      </c>
      <c r="AC47">
        <v>0.15805119085761227</v>
      </c>
      <c r="AD47">
        <v>9</v>
      </c>
      <c r="AE47">
        <v>2767.102356151775</v>
      </c>
      <c r="AF47">
        <v>2500.8544513587449</v>
      </c>
      <c r="AG47">
        <v>0.47472949052909463</v>
      </c>
    </row>
    <row r="48" spans="1:33" x14ac:dyDescent="0.35">
      <c r="A48" s="5" t="s">
        <v>23</v>
      </c>
      <c r="B48" s="8" t="s">
        <v>83</v>
      </c>
      <c r="C48" s="3">
        <v>27.082207199888899</v>
      </c>
      <c r="D48" s="3">
        <v>23263.615984704564</v>
      </c>
      <c r="E48" s="3">
        <v>20706.848624070975</v>
      </c>
      <c r="F48" s="3" t="str">
        <f t="shared" si="0"/>
        <v>Discount Applied</v>
      </c>
      <c r="G48" s="3">
        <v>75</v>
      </c>
      <c r="H48" s="3">
        <v>859</v>
      </c>
      <c r="I48" s="3">
        <v>2556.7673606335902</v>
      </c>
      <c r="J48" s="3" t="s">
        <v>25</v>
      </c>
      <c r="K48" s="3">
        <v>92</v>
      </c>
      <c r="L48" s="3">
        <v>29</v>
      </c>
      <c r="M48" s="3">
        <v>6</v>
      </c>
      <c r="N48" s="3">
        <v>8</v>
      </c>
      <c r="O48" s="3" t="s">
        <v>138</v>
      </c>
      <c r="P48" s="3">
        <v>4.0709558370840799</v>
      </c>
      <c r="Q48" s="3" t="s">
        <v>155</v>
      </c>
      <c r="R48" s="3" t="s">
        <v>147</v>
      </c>
      <c r="S48" s="3">
        <v>3</v>
      </c>
      <c r="T48" s="3">
        <v>399</v>
      </c>
      <c r="U48" s="3">
        <v>21</v>
      </c>
      <c r="V48" s="3">
        <v>77.106342497849994</v>
      </c>
      <c r="W48" s="3" t="s">
        <v>47</v>
      </c>
      <c r="X48" s="3">
        <f t="shared" si="1"/>
        <v>869.79169367265627</v>
      </c>
      <c r="Y48" s="3">
        <v>1.01256308925804E-2</v>
      </c>
      <c r="Z48" s="3">
        <v>1.01256308925804</v>
      </c>
      <c r="AA48" s="3" t="s">
        <v>33</v>
      </c>
      <c r="AB48" s="3" t="s">
        <v>140</v>
      </c>
      <c r="AC48">
        <v>0.19324897869135338</v>
      </c>
      <c r="AD48">
        <v>11</v>
      </c>
      <c r="AE48">
        <v>4327.6288988562001</v>
      </c>
      <c r="AF48">
        <v>-1770.8615382226099</v>
      </c>
      <c r="AG48">
        <v>-0.69261739080702844</v>
      </c>
    </row>
    <row r="49" spans="1:33" x14ac:dyDescent="0.35">
      <c r="A49" s="5" t="s">
        <v>28</v>
      </c>
      <c r="B49" s="8" t="s">
        <v>84</v>
      </c>
      <c r="C49" s="3">
        <v>95.712135880936003</v>
      </c>
      <c r="D49" s="3">
        <v>87098.043651651766</v>
      </c>
      <c r="E49" s="3">
        <v>80008.569401717585</v>
      </c>
      <c r="F49" s="3" t="str">
        <f t="shared" si="0"/>
        <v>Discount Applied</v>
      </c>
      <c r="G49" s="3">
        <v>93</v>
      </c>
      <c r="H49" s="3">
        <v>910</v>
      </c>
      <c r="I49" s="3">
        <v>7089.4742499341801</v>
      </c>
      <c r="J49" s="3" t="s">
        <v>40</v>
      </c>
      <c r="K49" s="3">
        <v>4</v>
      </c>
      <c r="L49" s="3">
        <v>15</v>
      </c>
      <c r="M49" s="3">
        <v>51</v>
      </c>
      <c r="N49" s="3">
        <v>9</v>
      </c>
      <c r="O49" s="3" t="s">
        <v>138</v>
      </c>
      <c r="P49" s="3">
        <v>8.9787507559499709</v>
      </c>
      <c r="Q49" s="3" t="s">
        <v>153</v>
      </c>
      <c r="R49" s="3" t="s">
        <v>145</v>
      </c>
      <c r="S49" s="3">
        <v>28</v>
      </c>
      <c r="T49" s="3">
        <v>362</v>
      </c>
      <c r="U49" s="3">
        <v>11</v>
      </c>
      <c r="V49" s="3">
        <v>27.5923630866636</v>
      </c>
      <c r="W49" s="3" t="s">
        <v>26</v>
      </c>
      <c r="X49" s="3">
        <f t="shared" si="1"/>
        <v>19.264537449424814</v>
      </c>
      <c r="Y49" s="3">
        <v>2.11698213729943E-4</v>
      </c>
      <c r="Z49" s="3">
        <v>2.1169821372994301E-2</v>
      </c>
      <c r="AA49" s="3" t="s">
        <v>33</v>
      </c>
      <c r="AB49" s="3" t="s">
        <v>140</v>
      </c>
      <c r="AC49">
        <v>7.6221997476971268E-2</v>
      </c>
      <c r="AD49">
        <v>37</v>
      </c>
      <c r="AE49">
        <v>633.61516704703502</v>
      </c>
      <c r="AF49">
        <v>6455.8590828871447</v>
      </c>
      <c r="AG49">
        <v>0.91062593011704385</v>
      </c>
    </row>
    <row r="50" spans="1:33" x14ac:dyDescent="0.35">
      <c r="A50" s="5" t="s">
        <v>23</v>
      </c>
      <c r="B50" s="8" t="s">
        <v>85</v>
      </c>
      <c r="C50" s="3">
        <v>76.035544426891704</v>
      </c>
      <c r="D50" s="3">
        <v>2205.0307883798596</v>
      </c>
      <c r="E50" s="3">
        <v>-5192.0402162073206</v>
      </c>
      <c r="F50" s="3" t="str">
        <f t="shared" si="0"/>
        <v>Premium Markup</v>
      </c>
      <c r="G50" s="3">
        <v>28</v>
      </c>
      <c r="H50" s="3">
        <v>29</v>
      </c>
      <c r="I50" s="3">
        <v>7397.0710045871801</v>
      </c>
      <c r="J50" s="3" t="s">
        <v>25</v>
      </c>
      <c r="K50" s="3">
        <v>30</v>
      </c>
      <c r="L50" s="3">
        <v>16</v>
      </c>
      <c r="M50" s="3">
        <v>9</v>
      </c>
      <c r="N50" s="3">
        <v>3</v>
      </c>
      <c r="O50" s="3" t="s">
        <v>139</v>
      </c>
      <c r="P50" s="3">
        <v>7.0958331565551296</v>
      </c>
      <c r="Q50" s="3" t="s">
        <v>154</v>
      </c>
      <c r="R50" s="3" t="s">
        <v>145</v>
      </c>
      <c r="S50" s="3">
        <v>26</v>
      </c>
      <c r="T50" s="3">
        <v>497</v>
      </c>
      <c r="U50" s="3">
        <v>29</v>
      </c>
      <c r="V50" s="3">
        <v>30.186023375822501</v>
      </c>
      <c r="W50" s="3" t="s">
        <v>47</v>
      </c>
      <c r="X50" s="3">
        <f t="shared" si="1"/>
        <v>71.884387290652469</v>
      </c>
      <c r="Y50" s="3">
        <v>2.4787719755397401E-2</v>
      </c>
      <c r="Z50" s="3">
        <v>2.4787719755397402</v>
      </c>
      <c r="AA50" s="3" t="s">
        <v>27</v>
      </c>
      <c r="AB50" s="3" t="s">
        <v>141</v>
      </c>
      <c r="AC50">
        <v>6.0736465544914485E-2</v>
      </c>
      <c r="AD50">
        <v>29</v>
      </c>
      <c r="AE50">
        <v>4070.3499829109346</v>
      </c>
      <c r="AF50">
        <v>3326.7210216762455</v>
      </c>
      <c r="AG50">
        <v>0.44973490447952041</v>
      </c>
    </row>
    <row r="51" spans="1:33" x14ac:dyDescent="0.35">
      <c r="A51" s="5" t="s">
        <v>42</v>
      </c>
      <c r="B51" s="8" t="s">
        <v>86</v>
      </c>
      <c r="C51" s="3">
        <v>78.897913205639995</v>
      </c>
      <c r="D51" s="3">
        <v>7810.8934073583596</v>
      </c>
      <c r="E51" s="3">
        <v>-190.71979916064083</v>
      </c>
      <c r="F51" s="3" t="str">
        <f t="shared" si="0"/>
        <v>Premium Markup</v>
      </c>
      <c r="G51" s="3">
        <v>19</v>
      </c>
      <c r="H51" s="3">
        <v>99</v>
      </c>
      <c r="I51" s="3">
        <v>8001.6132065190004</v>
      </c>
      <c r="J51" s="3" t="s">
        <v>32</v>
      </c>
      <c r="K51" s="3">
        <v>97</v>
      </c>
      <c r="L51" s="3">
        <v>24</v>
      </c>
      <c r="M51" s="3">
        <v>9</v>
      </c>
      <c r="N51" s="3">
        <v>6</v>
      </c>
      <c r="O51" s="3" t="s">
        <v>139</v>
      </c>
      <c r="P51" s="3">
        <v>2.5056210329009101</v>
      </c>
      <c r="Q51" s="3" t="s">
        <v>157</v>
      </c>
      <c r="R51" s="3" t="s">
        <v>144</v>
      </c>
      <c r="S51" s="3">
        <v>13</v>
      </c>
      <c r="T51" s="3">
        <v>171</v>
      </c>
      <c r="U51" s="3">
        <v>7</v>
      </c>
      <c r="V51" s="3">
        <v>59.429381810691503</v>
      </c>
      <c r="W51" s="3" t="s">
        <v>35</v>
      </c>
      <c r="X51" s="3">
        <f t="shared" si="1"/>
        <v>80.759950850271522</v>
      </c>
      <c r="Y51" s="3">
        <v>8.1575707929567205E-3</v>
      </c>
      <c r="Z51" s="3">
        <v>0.81575707929567198</v>
      </c>
      <c r="AA51" s="3" t="s">
        <v>33</v>
      </c>
      <c r="AB51" s="3" t="s">
        <v>140</v>
      </c>
      <c r="AC51">
        <v>0.34754024450696785</v>
      </c>
      <c r="AD51">
        <v>19</v>
      </c>
      <c r="AE51">
        <v>617.185137559135</v>
      </c>
      <c r="AF51">
        <v>7384.4280689598654</v>
      </c>
      <c r="AG51">
        <v>0.92286741165440145</v>
      </c>
    </row>
    <row r="52" spans="1:33" x14ac:dyDescent="0.35">
      <c r="A52" s="5" t="s">
        <v>42</v>
      </c>
      <c r="B52" s="8" t="s">
        <v>87</v>
      </c>
      <c r="C52" s="3">
        <v>14.203484264803</v>
      </c>
      <c r="D52" s="3">
        <v>8990.8055396202999</v>
      </c>
      <c r="E52" s="3">
        <v>3079.9201499514102</v>
      </c>
      <c r="F52" s="3" t="str">
        <f t="shared" si="0"/>
        <v>Discount Applied</v>
      </c>
      <c r="G52" s="3">
        <v>91</v>
      </c>
      <c r="H52" s="3">
        <v>633</v>
      </c>
      <c r="I52" s="3">
        <v>5910.8853896688897</v>
      </c>
      <c r="J52" s="3" t="s">
        <v>30</v>
      </c>
      <c r="K52" s="3">
        <v>31</v>
      </c>
      <c r="L52" s="3">
        <v>23</v>
      </c>
      <c r="M52" s="3">
        <v>82</v>
      </c>
      <c r="N52" s="3">
        <v>10</v>
      </c>
      <c r="O52" s="3" t="s">
        <v>137</v>
      </c>
      <c r="P52" s="3">
        <v>6.2478609149759903</v>
      </c>
      <c r="Q52" s="3" t="s">
        <v>154</v>
      </c>
      <c r="R52" s="3" t="s">
        <v>145</v>
      </c>
      <c r="S52" s="3">
        <v>23</v>
      </c>
      <c r="T52" s="3">
        <v>370</v>
      </c>
      <c r="U52" s="3">
        <v>11</v>
      </c>
      <c r="V52" s="3">
        <v>46.603873381644398</v>
      </c>
      <c r="W52" s="3" t="s">
        <v>26</v>
      </c>
      <c r="X52" s="3">
        <f t="shared" si="1"/>
        <v>1207.5524095960914</v>
      </c>
      <c r="Y52" s="3">
        <v>1.90766573395907E-2</v>
      </c>
      <c r="Z52" s="3">
        <v>1.9076657339590699</v>
      </c>
      <c r="AA52" s="3" t="s">
        <v>36</v>
      </c>
      <c r="AB52" s="3" t="s">
        <v>141</v>
      </c>
      <c r="AC52">
        <v>0.12595641454498485</v>
      </c>
      <c r="AD52">
        <v>33</v>
      </c>
      <c r="AE52">
        <v>2587.4998696453004</v>
      </c>
      <c r="AF52">
        <v>3323.3855200235894</v>
      </c>
      <c r="AG52">
        <v>0.56224834367999066</v>
      </c>
    </row>
    <row r="53" spans="1:33" x14ac:dyDescent="0.35">
      <c r="A53" s="5" t="s">
        <v>23</v>
      </c>
      <c r="B53" s="8" t="s">
        <v>88</v>
      </c>
      <c r="C53" s="3">
        <v>26.700760972461701</v>
      </c>
      <c r="D53" s="3">
        <v>4111.9171897591023</v>
      </c>
      <c r="E53" s="3">
        <v>-5754.5482682205875</v>
      </c>
      <c r="F53" s="3" t="str">
        <f t="shared" si="0"/>
        <v>Premium Markup</v>
      </c>
      <c r="G53" s="3">
        <v>61</v>
      </c>
      <c r="H53" s="3">
        <v>154</v>
      </c>
      <c r="I53" s="3">
        <v>9866.4654579796897</v>
      </c>
      <c r="J53" s="3" t="s">
        <v>40</v>
      </c>
      <c r="K53" s="3">
        <v>100</v>
      </c>
      <c r="L53" s="3">
        <v>4</v>
      </c>
      <c r="M53" s="3">
        <v>52</v>
      </c>
      <c r="N53" s="3">
        <v>1</v>
      </c>
      <c r="O53" s="3" t="s">
        <v>137</v>
      </c>
      <c r="P53" s="3">
        <v>4.78300055794766</v>
      </c>
      <c r="Q53" s="3" t="s">
        <v>157</v>
      </c>
      <c r="R53" s="3" t="s">
        <v>146</v>
      </c>
      <c r="S53" s="3">
        <v>20</v>
      </c>
      <c r="T53" s="3">
        <v>306</v>
      </c>
      <c r="U53" s="3">
        <v>21</v>
      </c>
      <c r="V53" s="3">
        <v>45.178757924634503</v>
      </c>
      <c r="W53" s="3" t="s">
        <v>35</v>
      </c>
      <c r="X53" s="3">
        <f t="shared" si="1"/>
        <v>732.23932391936171</v>
      </c>
      <c r="Y53" s="3">
        <v>4.7548008046711797E-2</v>
      </c>
      <c r="Z53" s="3">
        <v>4.7548008046711798</v>
      </c>
      <c r="AA53" s="3" t="s">
        <v>36</v>
      </c>
      <c r="AB53" s="3" t="s">
        <v>141</v>
      </c>
      <c r="AC53">
        <v>0.14764299975370754</v>
      </c>
      <c r="AD53">
        <v>21</v>
      </c>
      <c r="AE53">
        <v>2481.2432514596999</v>
      </c>
      <c r="AF53">
        <v>7385.2222065199894</v>
      </c>
      <c r="AG53">
        <v>0.74851751500807739</v>
      </c>
    </row>
    <row r="54" spans="1:33" x14ac:dyDescent="0.35">
      <c r="A54" s="5" t="s">
        <v>28</v>
      </c>
      <c r="B54" s="8" t="s">
        <v>89</v>
      </c>
      <c r="C54" s="3">
        <v>98.031829656465007</v>
      </c>
      <c r="D54" s="3">
        <v>80386.100318301309</v>
      </c>
      <c r="E54" s="3">
        <v>70950.337709389176</v>
      </c>
      <c r="F54" s="3" t="str">
        <f t="shared" si="0"/>
        <v>Discount Applied</v>
      </c>
      <c r="G54" s="3">
        <v>1</v>
      </c>
      <c r="H54" s="3">
        <v>820</v>
      </c>
      <c r="I54" s="3">
        <v>9435.7626089121295</v>
      </c>
      <c r="J54" s="3" t="s">
        <v>40</v>
      </c>
      <c r="K54" s="3">
        <v>64</v>
      </c>
      <c r="L54" s="3">
        <v>11</v>
      </c>
      <c r="M54" s="3">
        <v>11</v>
      </c>
      <c r="N54" s="3">
        <v>1</v>
      </c>
      <c r="O54" s="3" t="s">
        <v>138</v>
      </c>
      <c r="P54" s="3">
        <v>8.6310521797689397</v>
      </c>
      <c r="Q54" s="3" t="s">
        <v>153</v>
      </c>
      <c r="R54" s="3" t="s">
        <v>144</v>
      </c>
      <c r="S54" s="3">
        <v>1</v>
      </c>
      <c r="T54" s="3">
        <v>206</v>
      </c>
      <c r="U54" s="3">
        <v>23</v>
      </c>
      <c r="V54" s="3">
        <v>26.2773659573324</v>
      </c>
      <c r="W54" s="3" t="s">
        <v>26</v>
      </c>
      <c r="X54" s="3">
        <f t="shared" si="1"/>
        <v>305.28990974777952</v>
      </c>
      <c r="Y54" s="3">
        <v>3.72304767985097E-3</v>
      </c>
      <c r="Z54" s="3">
        <v>0.37230476798509698</v>
      </c>
      <c r="AA54" s="3" t="s">
        <v>33</v>
      </c>
      <c r="AB54" s="3" t="s">
        <v>140</v>
      </c>
      <c r="AC54">
        <v>0.12756002891908932</v>
      </c>
      <c r="AD54">
        <v>2</v>
      </c>
      <c r="AE54">
        <v>3580.2205987967</v>
      </c>
      <c r="AF54">
        <v>5855.5420101154295</v>
      </c>
      <c r="AG54">
        <v>0.6205690258236084</v>
      </c>
    </row>
    <row r="55" spans="1:33" x14ac:dyDescent="0.35">
      <c r="A55" s="5" t="s">
        <v>28</v>
      </c>
      <c r="B55" s="8" t="s">
        <v>90</v>
      </c>
      <c r="C55" s="3">
        <v>30.3414707112142</v>
      </c>
      <c r="D55" s="3">
        <v>7342.6359121138366</v>
      </c>
      <c r="E55" s="3">
        <v>-889.69891731198277</v>
      </c>
      <c r="F55" s="3" t="str">
        <f t="shared" si="0"/>
        <v>Premium Markup</v>
      </c>
      <c r="G55" s="3">
        <v>93</v>
      </c>
      <c r="H55" s="3">
        <v>242</v>
      </c>
      <c r="I55" s="3">
        <v>8232.3348294258194</v>
      </c>
      <c r="J55" s="3" t="s">
        <v>40</v>
      </c>
      <c r="K55" s="3">
        <v>96</v>
      </c>
      <c r="L55" s="3">
        <v>25</v>
      </c>
      <c r="M55" s="3">
        <v>54</v>
      </c>
      <c r="N55" s="3">
        <v>3</v>
      </c>
      <c r="O55" s="3" t="s">
        <v>138</v>
      </c>
      <c r="P55" s="3">
        <v>1.0134865660958901</v>
      </c>
      <c r="Q55" s="3" t="s">
        <v>153</v>
      </c>
      <c r="R55" s="3" t="s">
        <v>145</v>
      </c>
      <c r="S55" s="3">
        <v>18</v>
      </c>
      <c r="T55" s="3">
        <v>793</v>
      </c>
      <c r="U55" s="3">
        <v>1</v>
      </c>
      <c r="V55" s="3">
        <v>88.179407104217404</v>
      </c>
      <c r="W55" s="3" t="s">
        <v>26</v>
      </c>
      <c r="X55" s="3">
        <f t="shared" si="1"/>
        <v>1019.6112022019474</v>
      </c>
      <c r="Y55" s="3">
        <v>4.2132694305865595E-2</v>
      </c>
      <c r="Z55" s="3">
        <v>4.2132694305865597</v>
      </c>
      <c r="AA55" s="3" t="s">
        <v>27</v>
      </c>
      <c r="AB55" s="3" t="s">
        <v>140</v>
      </c>
      <c r="AC55">
        <v>0.11119723468375461</v>
      </c>
      <c r="AD55">
        <v>21</v>
      </c>
      <c r="AE55">
        <v>2649.0436199034548</v>
      </c>
      <c r="AF55">
        <v>5583.2912095223646</v>
      </c>
      <c r="AG55">
        <v>0.67821478659557666</v>
      </c>
    </row>
    <row r="56" spans="1:33" x14ac:dyDescent="0.35">
      <c r="A56" s="5" t="s">
        <v>23</v>
      </c>
      <c r="B56" s="8" t="s">
        <v>91</v>
      </c>
      <c r="C56" s="3">
        <v>31.1462431602408</v>
      </c>
      <c r="D56" s="3">
        <v>19372.963245669776</v>
      </c>
      <c r="E56" s="3">
        <v>13284.941765728927</v>
      </c>
      <c r="F56" s="3" t="str">
        <f t="shared" si="0"/>
        <v>Discount Applied</v>
      </c>
      <c r="G56" s="3">
        <v>11</v>
      </c>
      <c r="H56" s="3">
        <v>622</v>
      </c>
      <c r="I56" s="3">
        <v>6088.0214799408504</v>
      </c>
      <c r="J56" s="3" t="s">
        <v>25</v>
      </c>
      <c r="K56" s="3">
        <v>33</v>
      </c>
      <c r="L56" s="3">
        <v>22</v>
      </c>
      <c r="M56" s="3">
        <v>61</v>
      </c>
      <c r="N56" s="3">
        <v>3</v>
      </c>
      <c r="O56" s="3" t="s">
        <v>138</v>
      </c>
      <c r="P56" s="3">
        <v>4.3051034712876302</v>
      </c>
      <c r="Q56" s="3" t="s">
        <v>153</v>
      </c>
      <c r="R56" s="3" t="s">
        <v>146</v>
      </c>
      <c r="S56" s="3">
        <v>1</v>
      </c>
      <c r="T56" s="3">
        <v>919</v>
      </c>
      <c r="U56" s="3">
        <v>9</v>
      </c>
      <c r="V56" s="3">
        <v>80.580852156447804</v>
      </c>
      <c r="W56" s="3" t="s">
        <v>35</v>
      </c>
      <c r="X56" s="3">
        <f t="shared" si="1"/>
        <v>246.69311439637954</v>
      </c>
      <c r="Y56" s="3">
        <v>3.9661272410993495E-3</v>
      </c>
      <c r="Z56" s="3">
        <v>0.39661272410993498</v>
      </c>
      <c r="AA56" s="3" t="s">
        <v>36</v>
      </c>
      <c r="AB56" s="3" t="s">
        <v>140</v>
      </c>
      <c r="AC56">
        <v>8.7683190594611327E-2</v>
      </c>
      <c r="AD56">
        <v>4</v>
      </c>
      <c r="AE56">
        <v>1707.7632839161149</v>
      </c>
      <c r="AF56">
        <v>4380.2581960247353</v>
      </c>
      <c r="AG56">
        <v>0.71948796673222193</v>
      </c>
    </row>
    <row r="57" spans="1:33" x14ac:dyDescent="0.35">
      <c r="A57" s="5" t="s">
        <v>23</v>
      </c>
      <c r="B57" s="8" t="s">
        <v>92</v>
      </c>
      <c r="C57" s="3">
        <v>79.855058340789398</v>
      </c>
      <c r="D57" s="3">
        <v>55978.395896893366</v>
      </c>
      <c r="E57" s="3">
        <v>53052.720726589556</v>
      </c>
      <c r="F57" s="3" t="str">
        <f t="shared" si="0"/>
        <v>Discount Applied</v>
      </c>
      <c r="G57" s="3">
        <v>16</v>
      </c>
      <c r="H57" s="3">
        <v>701</v>
      </c>
      <c r="I57" s="3">
        <v>2925.6751703038099</v>
      </c>
      <c r="J57" s="3" t="s">
        <v>40</v>
      </c>
      <c r="K57" s="3">
        <v>97</v>
      </c>
      <c r="L57" s="3">
        <v>11</v>
      </c>
      <c r="M57" s="3">
        <v>11</v>
      </c>
      <c r="N57" s="3">
        <v>5</v>
      </c>
      <c r="O57" s="3" t="s">
        <v>137</v>
      </c>
      <c r="P57" s="3">
        <v>5.0143649550309002</v>
      </c>
      <c r="Q57" s="3" t="s">
        <v>154</v>
      </c>
      <c r="R57" s="3" t="s">
        <v>143</v>
      </c>
      <c r="S57" s="3">
        <v>18</v>
      </c>
      <c r="T57" s="3">
        <v>892</v>
      </c>
      <c r="U57" s="3">
        <v>7</v>
      </c>
      <c r="V57" s="3">
        <v>95.332064548772493</v>
      </c>
      <c r="W57" s="3" t="s">
        <v>35</v>
      </c>
      <c r="X57" s="3">
        <f t="shared" si="1"/>
        <v>31.756885941179981</v>
      </c>
      <c r="Y57" s="3">
        <v>4.5302262398259604E-4</v>
      </c>
      <c r="Z57" s="3">
        <v>4.5302262398259602E-2</v>
      </c>
      <c r="AA57" s="3" t="s">
        <v>41</v>
      </c>
      <c r="AB57" s="3" t="s">
        <v>140</v>
      </c>
      <c r="AC57">
        <v>0.10687451182597812</v>
      </c>
      <c r="AD57">
        <v>23</v>
      </c>
      <c r="AE57">
        <v>1377.621855656545</v>
      </c>
      <c r="AF57">
        <v>1548.0533146472649</v>
      </c>
      <c r="AG57">
        <v>0.52912685945463689</v>
      </c>
    </row>
    <row r="58" spans="1:33" x14ac:dyDescent="0.35">
      <c r="A58" s="5" t="s">
        <v>28</v>
      </c>
      <c r="B58" s="8" t="s">
        <v>93</v>
      </c>
      <c r="C58" s="3">
        <v>20.9863860370433</v>
      </c>
      <c r="D58" s="3">
        <v>1951.733901445027</v>
      </c>
      <c r="E58" s="3">
        <v>-2815.2865828991025</v>
      </c>
      <c r="F58" s="3" t="str">
        <f t="shared" si="0"/>
        <v>Premium Markup</v>
      </c>
      <c r="G58" s="3">
        <v>90</v>
      </c>
      <c r="H58" s="3">
        <v>93</v>
      </c>
      <c r="I58" s="3">
        <v>4767.0204843441297</v>
      </c>
      <c r="J58" s="3" t="s">
        <v>25</v>
      </c>
      <c r="K58" s="3">
        <v>25</v>
      </c>
      <c r="L58" s="3">
        <v>23</v>
      </c>
      <c r="M58" s="3">
        <v>83</v>
      </c>
      <c r="N58" s="3">
        <v>5</v>
      </c>
      <c r="O58" s="3" t="s">
        <v>139</v>
      </c>
      <c r="P58" s="3">
        <v>1.77442971407173</v>
      </c>
      <c r="Q58" s="3" t="s">
        <v>153</v>
      </c>
      <c r="R58" s="3" t="s">
        <v>147</v>
      </c>
      <c r="S58" s="3">
        <v>14</v>
      </c>
      <c r="T58" s="3">
        <v>580</v>
      </c>
      <c r="U58" s="3">
        <v>7</v>
      </c>
      <c r="V58" s="3">
        <v>97.121281751474299</v>
      </c>
      <c r="W58" s="3" t="s">
        <v>47</v>
      </c>
      <c r="X58" s="3">
        <f t="shared" si="1"/>
        <v>210.58973579146425</v>
      </c>
      <c r="Y58" s="3">
        <v>2.2644057611985402E-2</v>
      </c>
      <c r="Z58" s="3">
        <v>2.2644057611985402</v>
      </c>
      <c r="AA58" s="3" t="s">
        <v>41</v>
      </c>
      <c r="AB58" s="3" t="s">
        <v>141</v>
      </c>
      <c r="AC58">
        <v>0.16745048577840396</v>
      </c>
      <c r="AD58">
        <v>19</v>
      </c>
      <c r="AE58">
        <v>639.30900000812494</v>
      </c>
      <c r="AF58">
        <v>4127.711484336005</v>
      </c>
      <c r="AG58">
        <v>0.86588918547597049</v>
      </c>
    </row>
    <row r="59" spans="1:33" x14ac:dyDescent="0.35">
      <c r="A59" s="5" t="s">
        <v>23</v>
      </c>
      <c r="B59" s="8" t="s">
        <v>94</v>
      </c>
      <c r="C59" s="3">
        <v>49.263205350734097</v>
      </c>
      <c r="D59" s="3">
        <v>11182.747614616641</v>
      </c>
      <c r="E59" s="3">
        <v>9576.8807142242404</v>
      </c>
      <c r="F59" s="3" t="str">
        <f t="shared" si="0"/>
        <v>Discount Applied</v>
      </c>
      <c r="G59" s="3">
        <v>65</v>
      </c>
      <c r="H59" s="3">
        <v>227</v>
      </c>
      <c r="I59" s="3">
        <v>1605.8669003924001</v>
      </c>
      <c r="J59" s="3" t="s">
        <v>32</v>
      </c>
      <c r="K59" s="3">
        <v>5</v>
      </c>
      <c r="L59" s="3">
        <v>18</v>
      </c>
      <c r="M59" s="3">
        <v>51</v>
      </c>
      <c r="N59" s="3">
        <v>1</v>
      </c>
      <c r="O59" s="3" t="s">
        <v>138</v>
      </c>
      <c r="P59" s="3">
        <v>9.1605585353818704</v>
      </c>
      <c r="Q59" s="3" t="s">
        <v>154</v>
      </c>
      <c r="R59" s="3" t="s">
        <v>147</v>
      </c>
      <c r="S59" s="3">
        <v>25</v>
      </c>
      <c r="T59" s="3">
        <v>985</v>
      </c>
      <c r="U59" s="3">
        <v>24</v>
      </c>
      <c r="V59" s="3">
        <v>64.323597795600193</v>
      </c>
      <c r="W59" s="3" t="s">
        <v>26</v>
      </c>
      <c r="X59" s="3">
        <f t="shared" si="1"/>
        <v>494.86850150916166</v>
      </c>
      <c r="Y59" s="3">
        <v>2.1800374515822098E-2</v>
      </c>
      <c r="Z59" s="3">
        <v>2.1800374515822099</v>
      </c>
      <c r="AA59" s="3" t="s">
        <v>36</v>
      </c>
      <c r="AB59" s="3" t="s">
        <v>140</v>
      </c>
      <c r="AC59">
        <v>6.530314497015248E-2</v>
      </c>
      <c r="AD59">
        <v>26</v>
      </c>
      <c r="AE59">
        <v>4987.0672506659703</v>
      </c>
      <c r="AF59">
        <v>-3381.2003502735702</v>
      </c>
      <c r="AG59">
        <v>-2.1055296360161355</v>
      </c>
    </row>
    <row r="60" spans="1:33" x14ac:dyDescent="0.35">
      <c r="A60" s="5" t="s">
        <v>28</v>
      </c>
      <c r="B60" s="8" t="s">
        <v>95</v>
      </c>
      <c r="C60" s="3">
        <v>59.841561377289302</v>
      </c>
      <c r="D60" s="3">
        <v>53618.038994051218</v>
      </c>
      <c r="E60" s="3">
        <v>51596.88918371412</v>
      </c>
      <c r="F60" s="3" t="str">
        <f t="shared" si="0"/>
        <v>Discount Applied</v>
      </c>
      <c r="G60" s="3">
        <v>81</v>
      </c>
      <c r="H60" s="3">
        <v>896</v>
      </c>
      <c r="I60" s="3">
        <v>2021.1498103371</v>
      </c>
      <c r="J60" s="3" t="s">
        <v>25</v>
      </c>
      <c r="K60" s="3">
        <v>10</v>
      </c>
      <c r="L60" s="3">
        <v>5</v>
      </c>
      <c r="M60" s="3">
        <v>44</v>
      </c>
      <c r="N60" s="3">
        <v>7</v>
      </c>
      <c r="O60" s="3" t="s">
        <v>137</v>
      </c>
      <c r="P60" s="3">
        <v>4.9384385647120901</v>
      </c>
      <c r="Q60" s="3" t="s">
        <v>155</v>
      </c>
      <c r="R60" s="3" t="s">
        <v>143</v>
      </c>
      <c r="S60" s="3">
        <v>25</v>
      </c>
      <c r="T60" s="3">
        <v>794</v>
      </c>
      <c r="U60" s="3">
        <v>25</v>
      </c>
      <c r="V60" s="3">
        <v>66.312544439991598</v>
      </c>
      <c r="W60" s="3" t="s">
        <v>47</v>
      </c>
      <c r="X60" s="3">
        <f t="shared" si="1"/>
        <v>2884.7657324273537</v>
      </c>
      <c r="Y60" s="3">
        <v>3.2196046120841003E-2</v>
      </c>
      <c r="Z60" s="3">
        <v>3.2196046120841002</v>
      </c>
      <c r="AA60" s="3" t="s">
        <v>36</v>
      </c>
      <c r="AB60" s="3" t="s">
        <v>140</v>
      </c>
      <c r="AC60">
        <v>8.35170584886544E-2</v>
      </c>
      <c r="AD60">
        <v>32</v>
      </c>
      <c r="AE60">
        <v>2476.5284851423648</v>
      </c>
      <c r="AF60">
        <v>-455.37867480526484</v>
      </c>
      <c r="AG60">
        <v>-0.22530673999336739</v>
      </c>
    </row>
    <row r="61" spans="1:33" x14ac:dyDescent="0.35">
      <c r="A61" s="5" t="s">
        <v>42</v>
      </c>
      <c r="B61" s="8" t="s">
        <v>96</v>
      </c>
      <c r="C61" s="3">
        <v>63.828398347710902</v>
      </c>
      <c r="D61" s="3">
        <v>30892.944800292076</v>
      </c>
      <c r="E61" s="3">
        <v>29831.326277278797</v>
      </c>
      <c r="F61" s="3" t="str">
        <f t="shared" si="0"/>
        <v>Discount Applied</v>
      </c>
      <c r="G61" s="3">
        <v>30</v>
      </c>
      <c r="H61" s="3">
        <v>484</v>
      </c>
      <c r="I61" s="3">
        <v>1061.6185230132801</v>
      </c>
      <c r="J61" s="3" t="s">
        <v>25</v>
      </c>
      <c r="K61" s="3">
        <v>100</v>
      </c>
      <c r="L61" s="3">
        <v>16</v>
      </c>
      <c r="M61" s="3">
        <v>26</v>
      </c>
      <c r="N61" s="3">
        <v>7</v>
      </c>
      <c r="O61" s="3" t="s">
        <v>138</v>
      </c>
      <c r="P61" s="3">
        <v>7.2937225968677204</v>
      </c>
      <c r="Q61" s="3" t="s">
        <v>153</v>
      </c>
      <c r="R61" s="3" t="s">
        <v>143</v>
      </c>
      <c r="S61" s="3">
        <v>1</v>
      </c>
      <c r="T61" s="3">
        <v>251</v>
      </c>
      <c r="U61" s="3">
        <v>23</v>
      </c>
      <c r="V61" s="3">
        <v>23.853427512896101</v>
      </c>
      <c r="W61" s="3" t="s">
        <v>35</v>
      </c>
      <c r="X61" s="3">
        <f t="shared" si="1"/>
        <v>1713.8662699294453</v>
      </c>
      <c r="Y61" s="3">
        <v>3.5410460122509202E-2</v>
      </c>
      <c r="Z61" s="3">
        <v>3.54104601225092</v>
      </c>
      <c r="AA61" s="3" t="s">
        <v>41</v>
      </c>
      <c r="AB61" s="3" t="s">
        <v>140</v>
      </c>
      <c r="AC61">
        <v>9.5033575748590046E-2</v>
      </c>
      <c r="AD61">
        <v>8</v>
      </c>
      <c r="AE61">
        <v>1856.2764775993551</v>
      </c>
      <c r="AF61">
        <v>-794.65795458607499</v>
      </c>
      <c r="AG61">
        <v>-0.74853437214954699</v>
      </c>
    </row>
    <row r="62" spans="1:33" x14ac:dyDescent="0.35">
      <c r="A62" s="5" t="s">
        <v>28</v>
      </c>
      <c r="B62" s="8" t="s">
        <v>97</v>
      </c>
      <c r="C62" s="3">
        <v>17.028027920188698</v>
      </c>
      <c r="D62" s="3">
        <v>6470.6506096717058</v>
      </c>
      <c r="E62" s="3">
        <v>-2393.4337399147244</v>
      </c>
      <c r="F62" s="3" t="str">
        <f t="shared" si="0"/>
        <v>Premium Markup</v>
      </c>
      <c r="G62" s="3">
        <v>16</v>
      </c>
      <c r="H62" s="3">
        <v>380</v>
      </c>
      <c r="I62" s="3">
        <v>8864.0843495864301</v>
      </c>
      <c r="J62" s="3" t="s">
        <v>30</v>
      </c>
      <c r="K62" s="3">
        <v>41</v>
      </c>
      <c r="L62" s="3">
        <v>27</v>
      </c>
      <c r="M62" s="3">
        <v>72</v>
      </c>
      <c r="N62" s="3">
        <v>8</v>
      </c>
      <c r="O62" s="3" t="s">
        <v>139</v>
      </c>
      <c r="P62" s="3">
        <v>4.3813681581023101</v>
      </c>
      <c r="Q62" s="3" t="s">
        <v>156</v>
      </c>
      <c r="R62" s="3" t="s">
        <v>143</v>
      </c>
      <c r="S62" s="3">
        <v>27</v>
      </c>
      <c r="T62" s="3">
        <v>523</v>
      </c>
      <c r="U62" s="3">
        <v>17</v>
      </c>
      <c r="V62" s="3">
        <v>28.696996824143099</v>
      </c>
      <c r="W62" s="3" t="s">
        <v>35</v>
      </c>
      <c r="X62" s="3">
        <f t="shared" si="1"/>
        <v>1403.6203593789226</v>
      </c>
      <c r="Y62" s="3">
        <v>3.6937377878392699E-2</v>
      </c>
      <c r="Z62" s="3">
        <v>3.6937377878392699</v>
      </c>
      <c r="AA62" s="3" t="s">
        <v>41</v>
      </c>
      <c r="AB62" s="3" t="s">
        <v>141</v>
      </c>
      <c r="AC62">
        <v>5.4869974807156975E-2</v>
      </c>
      <c r="AD62">
        <v>35</v>
      </c>
      <c r="AE62">
        <v>4396.7960886746196</v>
      </c>
      <c r="AF62">
        <v>4467.2882609118105</v>
      </c>
      <c r="AG62">
        <v>0.50397628054162635</v>
      </c>
    </row>
    <row r="63" spans="1:33" x14ac:dyDescent="0.35">
      <c r="A63" s="5" t="s">
        <v>23</v>
      </c>
      <c r="B63" s="8" t="s">
        <v>98</v>
      </c>
      <c r="C63" s="3">
        <v>52.028749903294901</v>
      </c>
      <c r="D63" s="3">
        <v>6087.3637386855034</v>
      </c>
      <c r="E63" s="3">
        <v>-798.22561221074648</v>
      </c>
      <c r="F63" s="3" t="str">
        <f t="shared" si="0"/>
        <v>Premium Markup</v>
      </c>
      <c r="G63" s="3">
        <v>23</v>
      </c>
      <c r="H63" s="3">
        <v>117</v>
      </c>
      <c r="I63" s="3">
        <v>6885.5893508962499</v>
      </c>
      <c r="J63" s="3" t="s">
        <v>32</v>
      </c>
      <c r="K63" s="3">
        <v>32</v>
      </c>
      <c r="L63" s="3">
        <v>23</v>
      </c>
      <c r="M63" s="3">
        <v>36</v>
      </c>
      <c r="N63" s="3">
        <v>7</v>
      </c>
      <c r="O63" s="3" t="s">
        <v>139</v>
      </c>
      <c r="P63" s="3">
        <v>9.0303404225219399</v>
      </c>
      <c r="Q63" s="3" t="s">
        <v>156</v>
      </c>
      <c r="R63" s="3" t="s">
        <v>143</v>
      </c>
      <c r="S63" s="3">
        <v>29</v>
      </c>
      <c r="T63" s="3">
        <v>963</v>
      </c>
      <c r="U63" s="3">
        <v>23</v>
      </c>
      <c r="V63" s="3">
        <v>47.957601634951502</v>
      </c>
      <c r="W63" s="3" t="s">
        <v>26</v>
      </c>
      <c r="X63" s="3">
        <f t="shared" si="1"/>
        <v>449.81989401580682</v>
      </c>
      <c r="Y63" s="3">
        <v>3.8446144787675801E-2</v>
      </c>
      <c r="Z63" s="3">
        <v>3.8446144787675798</v>
      </c>
      <c r="AA63" s="3" t="s">
        <v>36</v>
      </c>
      <c r="AB63" s="3" t="s">
        <v>141</v>
      </c>
      <c r="AC63">
        <v>4.9800209382088789E-2</v>
      </c>
      <c r="AD63">
        <v>36</v>
      </c>
      <c r="AE63">
        <v>4979.6473074932046</v>
      </c>
      <c r="AF63">
        <v>1905.9420434030453</v>
      </c>
      <c r="AG63">
        <v>0.27680158462470056</v>
      </c>
    </row>
    <row r="64" spans="1:33" x14ac:dyDescent="0.35">
      <c r="A64" s="5" t="s">
        <v>42</v>
      </c>
      <c r="B64" s="8" t="s">
        <v>99</v>
      </c>
      <c r="C64" s="3">
        <v>72.796353955587307</v>
      </c>
      <c r="D64" s="3">
        <v>19655.015568008574</v>
      </c>
      <c r="E64" s="3">
        <v>15755.268734279354</v>
      </c>
      <c r="F64" s="3" t="str">
        <f t="shared" si="0"/>
        <v>Discount Applied</v>
      </c>
      <c r="G64" s="3">
        <v>89</v>
      </c>
      <c r="H64" s="3">
        <v>270</v>
      </c>
      <c r="I64" s="3">
        <v>3899.7468337292198</v>
      </c>
      <c r="J64" s="3" t="s">
        <v>32</v>
      </c>
      <c r="K64" s="3">
        <v>86</v>
      </c>
      <c r="L64" s="3">
        <v>2</v>
      </c>
      <c r="M64" s="3">
        <v>40</v>
      </c>
      <c r="N64" s="3">
        <v>7</v>
      </c>
      <c r="O64" s="3" t="s">
        <v>139</v>
      </c>
      <c r="P64" s="3">
        <v>7.2917013887767697</v>
      </c>
      <c r="Q64" s="3" t="s">
        <v>154</v>
      </c>
      <c r="R64" s="3" t="s">
        <v>144</v>
      </c>
      <c r="S64" s="3">
        <v>24</v>
      </c>
      <c r="T64" s="3">
        <v>826</v>
      </c>
      <c r="U64" s="3">
        <v>28</v>
      </c>
      <c r="V64" s="3">
        <v>12.8362845728327</v>
      </c>
      <c r="W64" s="3" t="s">
        <v>47</v>
      </c>
      <c r="X64" s="3">
        <f t="shared" si="1"/>
        <v>316.91398375461154</v>
      </c>
      <c r="Y64" s="3">
        <v>1.1737554953874501E-2</v>
      </c>
      <c r="Z64" s="3">
        <v>1.1737554953874501</v>
      </c>
      <c r="AA64" s="3" t="s">
        <v>33</v>
      </c>
      <c r="AB64" s="3" t="s">
        <v>141</v>
      </c>
      <c r="AC64">
        <v>1.5540296093017795E-2</v>
      </c>
      <c r="AD64">
        <v>31</v>
      </c>
      <c r="AE64">
        <v>4161.0540435301045</v>
      </c>
      <c r="AF64">
        <v>-261.30720980088472</v>
      </c>
      <c r="AG64">
        <v>-6.7006198335958098E-2</v>
      </c>
    </row>
    <row r="65" spans="1:33" x14ac:dyDescent="0.35">
      <c r="A65" s="5" t="s">
        <v>28</v>
      </c>
      <c r="B65" s="8" t="s">
        <v>100</v>
      </c>
      <c r="C65" s="3">
        <v>13.0173767852878</v>
      </c>
      <c r="D65" s="3">
        <v>3202.2746891807988</v>
      </c>
      <c r="E65" s="3">
        <v>-1054.6744516694212</v>
      </c>
      <c r="F65" s="3" t="str">
        <f t="shared" si="0"/>
        <v>Premium Markup</v>
      </c>
      <c r="G65" s="3">
        <v>55</v>
      </c>
      <c r="H65" s="3">
        <v>246</v>
      </c>
      <c r="I65" s="3">
        <v>4256.9491408502199</v>
      </c>
      <c r="J65" s="3" t="s">
        <v>25</v>
      </c>
      <c r="K65" s="3">
        <v>54</v>
      </c>
      <c r="L65" s="3">
        <v>19</v>
      </c>
      <c r="M65" s="3">
        <v>10</v>
      </c>
      <c r="N65" s="3">
        <v>4</v>
      </c>
      <c r="O65" s="3" t="s">
        <v>137</v>
      </c>
      <c r="P65" s="3">
        <v>2.45793352798733</v>
      </c>
      <c r="Q65" s="3" t="s">
        <v>155</v>
      </c>
      <c r="R65" s="3" t="s">
        <v>143</v>
      </c>
      <c r="S65" s="3">
        <v>21</v>
      </c>
      <c r="T65" s="3">
        <v>824</v>
      </c>
      <c r="U65" s="3">
        <v>20</v>
      </c>
      <c r="V65" s="3">
        <v>35.633652343343797</v>
      </c>
      <c r="W65" s="3" t="s">
        <v>35</v>
      </c>
      <c r="X65" s="3">
        <f t="shared" si="1"/>
        <v>1024.7823216743384</v>
      </c>
      <c r="Y65" s="3">
        <v>4.1657817954241401E-2</v>
      </c>
      <c r="Z65" s="3">
        <v>4.1657817954241398</v>
      </c>
      <c r="AA65" s="3" t="s">
        <v>33</v>
      </c>
      <c r="AB65" s="3" t="s">
        <v>140</v>
      </c>
      <c r="AC65">
        <v>4.3244723717650237E-2</v>
      </c>
      <c r="AD65">
        <v>25</v>
      </c>
      <c r="AE65">
        <v>4117.6192294407756</v>
      </c>
      <c r="AF65">
        <v>139.32991140944432</v>
      </c>
      <c r="AG65">
        <v>3.2729992019969643E-2</v>
      </c>
    </row>
    <row r="66" spans="1:33" x14ac:dyDescent="0.35">
      <c r="A66" s="5" t="s">
        <v>28</v>
      </c>
      <c r="B66" s="8" t="s">
        <v>101</v>
      </c>
      <c r="C66" s="3">
        <v>89.634095608135297</v>
      </c>
      <c r="D66" s="3">
        <v>12010.968811490129</v>
      </c>
      <c r="E66" s="3">
        <v>3552.2379331229586</v>
      </c>
      <c r="F66" s="3" t="str">
        <f t="shared" si="0"/>
        <v>Discount Applied</v>
      </c>
      <c r="G66" s="3">
        <v>11</v>
      </c>
      <c r="H66" s="3">
        <v>134</v>
      </c>
      <c r="I66" s="3">
        <v>8458.7308783671706</v>
      </c>
      <c r="J66" s="3" t="s">
        <v>30</v>
      </c>
      <c r="K66" s="3">
        <v>73</v>
      </c>
      <c r="L66" s="3">
        <v>27</v>
      </c>
      <c r="M66" s="3">
        <v>75</v>
      </c>
      <c r="N66" s="3">
        <v>6</v>
      </c>
      <c r="O66" s="3" t="s">
        <v>139</v>
      </c>
      <c r="P66" s="3">
        <v>4.5853534681946497</v>
      </c>
      <c r="Q66" s="3" t="s">
        <v>153</v>
      </c>
      <c r="R66" s="3" t="s">
        <v>146</v>
      </c>
      <c r="S66" s="3">
        <v>28</v>
      </c>
      <c r="T66" s="3">
        <v>698</v>
      </c>
      <c r="U66" s="3">
        <v>1</v>
      </c>
      <c r="V66" s="3">
        <v>19.789592941903599</v>
      </c>
      <c r="W66" s="3" t="s">
        <v>26</v>
      </c>
      <c r="X66" s="3">
        <f t="shared" si="1"/>
        <v>341.37131428752713</v>
      </c>
      <c r="Y66" s="3">
        <v>2.54754712154871E-2</v>
      </c>
      <c r="Z66" s="3">
        <v>2.54754712154871</v>
      </c>
      <c r="AA66" s="3" t="s">
        <v>36</v>
      </c>
      <c r="AB66" s="3" t="s">
        <v>141</v>
      </c>
      <c r="AC66">
        <v>2.8351852352297421E-2</v>
      </c>
      <c r="AD66">
        <v>34</v>
      </c>
      <c r="AE66">
        <v>1383.89167973399</v>
      </c>
      <c r="AF66">
        <v>7074.8391986331808</v>
      </c>
      <c r="AG66">
        <v>0.83639488007908713</v>
      </c>
    </row>
    <row r="67" spans="1:33" x14ac:dyDescent="0.35">
      <c r="A67" s="5" t="s">
        <v>28</v>
      </c>
      <c r="B67" s="8" t="s">
        <v>102</v>
      </c>
      <c r="C67" s="3">
        <v>33.697717206643098</v>
      </c>
      <c r="D67" s="3">
        <v>15399.856763435895</v>
      </c>
      <c r="E67" s="3">
        <v>7045.2770769539056</v>
      </c>
      <c r="F67" s="3" t="str">
        <f t="shared" ref="F67:F101" si="2">IF(E67 &gt; 0, "Discount Applied", "Premium Markup")</f>
        <v>Discount Applied</v>
      </c>
      <c r="G67" s="3">
        <v>72</v>
      </c>
      <c r="H67" s="3">
        <v>457</v>
      </c>
      <c r="I67" s="3">
        <v>8354.5796864819895</v>
      </c>
      <c r="J67" s="3" t="s">
        <v>40</v>
      </c>
      <c r="K67" s="3">
        <v>57</v>
      </c>
      <c r="L67" s="3">
        <v>24</v>
      </c>
      <c r="M67" s="3">
        <v>54</v>
      </c>
      <c r="N67" s="3">
        <v>8</v>
      </c>
      <c r="O67" s="3" t="s">
        <v>139</v>
      </c>
      <c r="P67" s="3">
        <v>6.5805413478845898</v>
      </c>
      <c r="Q67" s="3" t="s">
        <v>157</v>
      </c>
      <c r="R67" s="3" t="s">
        <v>144</v>
      </c>
      <c r="S67" s="3">
        <v>10</v>
      </c>
      <c r="T67" s="3">
        <v>535</v>
      </c>
      <c r="U67" s="3">
        <v>13</v>
      </c>
      <c r="V67" s="3">
        <v>65.765155926367399</v>
      </c>
      <c r="W67" s="3" t="s">
        <v>35</v>
      </c>
      <c r="X67" s="3">
        <f t="shared" ref="X67:X101" si="3">H67*Z67</f>
        <v>1542.9406904661168</v>
      </c>
      <c r="Y67" s="3">
        <v>3.3762378347179794E-2</v>
      </c>
      <c r="Z67" s="3">
        <v>3.3762378347179798</v>
      </c>
      <c r="AA67" s="3" t="s">
        <v>27</v>
      </c>
      <c r="AB67" s="3" t="s">
        <v>140</v>
      </c>
      <c r="AC67">
        <v>0.12292552509601383</v>
      </c>
      <c r="AD67">
        <v>18</v>
      </c>
      <c r="AE67">
        <v>2700.6621143398347</v>
      </c>
      <c r="AF67">
        <v>5653.9175721421543</v>
      </c>
      <c r="AG67">
        <v>0.67674470581570922</v>
      </c>
    </row>
    <row r="68" spans="1:33" x14ac:dyDescent="0.35">
      <c r="A68" s="5" t="s">
        <v>28</v>
      </c>
      <c r="B68" s="8" t="s">
        <v>103</v>
      </c>
      <c r="C68" s="3">
        <v>26.034869773962001</v>
      </c>
      <c r="D68" s="3">
        <v>18328.548320869249</v>
      </c>
      <c r="E68" s="3">
        <v>9960.8267028490991</v>
      </c>
      <c r="F68" s="3" t="str">
        <f t="shared" si="2"/>
        <v>Discount Applied</v>
      </c>
      <c r="G68" s="3">
        <v>52</v>
      </c>
      <c r="H68" s="3">
        <v>704</v>
      </c>
      <c r="I68" s="3">
        <v>8367.7216180201503</v>
      </c>
      <c r="J68" s="3" t="s">
        <v>30</v>
      </c>
      <c r="K68" s="3">
        <v>13</v>
      </c>
      <c r="L68" s="3">
        <v>17</v>
      </c>
      <c r="M68" s="3">
        <v>19</v>
      </c>
      <c r="N68" s="3">
        <v>8</v>
      </c>
      <c r="O68" s="3" t="s">
        <v>137</v>
      </c>
      <c r="P68" s="3">
        <v>2.2161427287713602</v>
      </c>
      <c r="Q68" s="3" t="s">
        <v>157</v>
      </c>
      <c r="R68" s="3" t="s">
        <v>147</v>
      </c>
      <c r="S68" s="3">
        <v>18</v>
      </c>
      <c r="T68" s="3">
        <v>736</v>
      </c>
      <c r="U68" s="3">
        <v>10</v>
      </c>
      <c r="V68" s="3">
        <v>20.075003975630398</v>
      </c>
      <c r="W68" s="3" t="s">
        <v>26</v>
      </c>
      <c r="X68" s="3">
        <f t="shared" si="3"/>
        <v>2557.5216764290199</v>
      </c>
      <c r="Y68" s="3">
        <v>3.6328432903821303E-2</v>
      </c>
      <c r="Z68" s="3">
        <v>3.6328432903821302</v>
      </c>
      <c r="AA68" s="3" t="s">
        <v>41</v>
      </c>
      <c r="AB68" s="3" t="s">
        <v>140</v>
      </c>
      <c r="AC68">
        <v>2.727582061906304E-2</v>
      </c>
      <c r="AD68">
        <v>26</v>
      </c>
      <c r="AE68">
        <v>3436.4308893320849</v>
      </c>
      <c r="AF68">
        <v>4931.2907286880654</v>
      </c>
      <c r="AG68">
        <v>0.58932299062965676</v>
      </c>
    </row>
    <row r="69" spans="1:33" x14ac:dyDescent="0.35">
      <c r="A69" s="5" t="s">
        <v>28</v>
      </c>
      <c r="B69" s="8" t="s">
        <v>104</v>
      </c>
      <c r="C69" s="3">
        <v>87.755432354001002</v>
      </c>
      <c r="D69" s="3">
        <v>45018.536797602515</v>
      </c>
      <c r="E69" s="3">
        <v>35544.738765094182</v>
      </c>
      <c r="F69" s="3" t="str">
        <f t="shared" si="2"/>
        <v>Discount Applied</v>
      </c>
      <c r="G69" s="3">
        <v>16</v>
      </c>
      <c r="H69" s="3">
        <v>513</v>
      </c>
      <c r="I69" s="3">
        <v>9473.7980325083299</v>
      </c>
      <c r="J69" s="3" t="s">
        <v>32</v>
      </c>
      <c r="K69" s="3">
        <v>12</v>
      </c>
      <c r="L69" s="3">
        <v>9</v>
      </c>
      <c r="M69" s="3">
        <v>71</v>
      </c>
      <c r="N69" s="3">
        <v>9</v>
      </c>
      <c r="O69" s="3" t="s">
        <v>139</v>
      </c>
      <c r="P69" s="3">
        <v>9.1478115447106294</v>
      </c>
      <c r="Q69" s="3" t="s">
        <v>153</v>
      </c>
      <c r="R69" s="3" t="s">
        <v>147</v>
      </c>
      <c r="S69" s="3">
        <v>23</v>
      </c>
      <c r="T69" s="3">
        <v>173</v>
      </c>
      <c r="U69" s="3">
        <v>10</v>
      </c>
      <c r="V69" s="3">
        <v>97.829050110173199</v>
      </c>
      <c r="W69" s="3" t="s">
        <v>26</v>
      </c>
      <c r="X69" s="3">
        <f t="shared" si="3"/>
        <v>836.74108002669482</v>
      </c>
      <c r="Y69" s="3">
        <v>1.6310742300715299E-2</v>
      </c>
      <c r="Z69" s="3">
        <v>1.63107423007153</v>
      </c>
      <c r="AA69" s="3" t="s">
        <v>27</v>
      </c>
      <c r="AB69" s="3" t="s">
        <v>141</v>
      </c>
      <c r="AC69">
        <v>0.56548583878712833</v>
      </c>
      <c r="AD69">
        <v>32</v>
      </c>
      <c r="AE69">
        <v>2736.2050258048403</v>
      </c>
      <c r="AF69">
        <v>6737.5930067034897</v>
      </c>
      <c r="AG69">
        <v>0.7111818284054775</v>
      </c>
    </row>
    <row r="70" spans="1:33" x14ac:dyDescent="0.35">
      <c r="A70" s="5" t="s">
        <v>23</v>
      </c>
      <c r="B70" s="8" t="s">
        <v>105</v>
      </c>
      <c r="C70" s="3">
        <v>37.931812382790298</v>
      </c>
      <c r="D70" s="3">
        <v>6182.8854183948188</v>
      </c>
      <c r="E70" s="3">
        <v>2632.6669856138287</v>
      </c>
      <c r="F70" s="3" t="str">
        <f t="shared" si="2"/>
        <v>Discount Applied</v>
      </c>
      <c r="G70" s="3">
        <v>29</v>
      </c>
      <c r="H70" s="3">
        <v>163</v>
      </c>
      <c r="I70" s="3">
        <v>3550.21843278099</v>
      </c>
      <c r="J70" s="3" t="s">
        <v>25</v>
      </c>
      <c r="K70" s="3">
        <v>0</v>
      </c>
      <c r="L70" s="3">
        <v>8</v>
      </c>
      <c r="M70" s="3">
        <v>58</v>
      </c>
      <c r="N70" s="3">
        <v>8</v>
      </c>
      <c r="O70" s="3" t="s">
        <v>138</v>
      </c>
      <c r="P70" s="3">
        <v>1.19425186488499</v>
      </c>
      <c r="Q70" s="3" t="s">
        <v>154</v>
      </c>
      <c r="R70" s="3" t="s">
        <v>144</v>
      </c>
      <c r="S70" s="3">
        <v>13</v>
      </c>
      <c r="T70" s="3">
        <v>751</v>
      </c>
      <c r="U70" s="3">
        <v>14</v>
      </c>
      <c r="V70" s="3">
        <v>21.048642725168602</v>
      </c>
      <c r="W70" s="3" t="s">
        <v>47</v>
      </c>
      <c r="X70" s="3">
        <f t="shared" si="3"/>
        <v>305.46222885923231</v>
      </c>
      <c r="Y70" s="3">
        <v>1.87400140404437E-2</v>
      </c>
      <c r="Z70" s="3">
        <v>1.87400140404437</v>
      </c>
      <c r="AA70" s="3" t="s">
        <v>41</v>
      </c>
      <c r="AB70" s="3" t="s">
        <v>142</v>
      </c>
      <c r="AC70">
        <v>2.8027486984245807E-2</v>
      </c>
      <c r="AD70">
        <v>21</v>
      </c>
      <c r="AE70">
        <v>1604.2325787955551</v>
      </c>
      <c r="AF70">
        <v>1945.9858539854349</v>
      </c>
      <c r="AG70">
        <v>0.54813130257483544</v>
      </c>
    </row>
    <row r="71" spans="1:33" x14ac:dyDescent="0.35">
      <c r="A71" s="5" t="s">
        <v>28</v>
      </c>
      <c r="B71" s="8" t="s">
        <v>106</v>
      </c>
      <c r="C71" s="3">
        <v>54.865528517069698</v>
      </c>
      <c r="D71" s="3">
        <v>28036.285072222618</v>
      </c>
      <c r="E71" s="3">
        <v>26283.903984738499</v>
      </c>
      <c r="F71" s="3" t="str">
        <f t="shared" si="2"/>
        <v>Discount Applied</v>
      </c>
      <c r="G71" s="3">
        <v>62</v>
      </c>
      <c r="H71" s="3">
        <v>511</v>
      </c>
      <c r="I71" s="3">
        <v>1752.3810874841199</v>
      </c>
      <c r="J71" s="3" t="s">
        <v>25</v>
      </c>
      <c r="K71" s="3">
        <v>95</v>
      </c>
      <c r="L71" s="3">
        <v>1</v>
      </c>
      <c r="M71" s="3">
        <v>27</v>
      </c>
      <c r="N71" s="3">
        <v>3</v>
      </c>
      <c r="O71" s="3" t="s">
        <v>138</v>
      </c>
      <c r="P71" s="3">
        <v>9.7052867901203399</v>
      </c>
      <c r="Q71" s="3" t="s">
        <v>156</v>
      </c>
      <c r="R71" s="3" t="s">
        <v>147</v>
      </c>
      <c r="S71" s="3">
        <v>26</v>
      </c>
      <c r="T71" s="3">
        <v>171</v>
      </c>
      <c r="U71" s="3">
        <v>4</v>
      </c>
      <c r="V71" s="3">
        <v>15.972229757181699</v>
      </c>
      <c r="W71" s="3" t="s">
        <v>47</v>
      </c>
      <c r="X71" s="3">
        <f t="shared" si="3"/>
        <v>1082.9723854664342</v>
      </c>
      <c r="Y71" s="3">
        <v>2.11931973672492E-2</v>
      </c>
      <c r="Z71" s="3">
        <v>2.1193197367249201</v>
      </c>
      <c r="AA71" s="3" t="s">
        <v>36</v>
      </c>
      <c r="AB71" s="3" t="s">
        <v>140</v>
      </c>
      <c r="AC71">
        <v>9.3404852381179529E-2</v>
      </c>
      <c r="AD71">
        <v>29</v>
      </c>
      <c r="AE71">
        <v>3089.334582291885</v>
      </c>
      <c r="AF71">
        <v>-1336.9534948077651</v>
      </c>
      <c r="AG71">
        <v>-0.7629353594127285</v>
      </c>
    </row>
    <row r="72" spans="1:33" x14ac:dyDescent="0.35">
      <c r="A72" s="5" t="s">
        <v>23</v>
      </c>
      <c r="B72" s="8" t="s">
        <v>107</v>
      </c>
      <c r="C72" s="3">
        <v>47.914541824058702</v>
      </c>
      <c r="D72" s="3">
        <v>1533.2653383698785</v>
      </c>
      <c r="E72" s="3">
        <v>-5481.6226488335014</v>
      </c>
      <c r="F72" s="3" t="str">
        <f t="shared" si="2"/>
        <v>Premium Markup</v>
      </c>
      <c r="G72" s="3">
        <v>90</v>
      </c>
      <c r="H72" s="3">
        <v>32</v>
      </c>
      <c r="I72" s="3">
        <v>7014.8879872033804</v>
      </c>
      <c r="J72" s="3" t="s">
        <v>30</v>
      </c>
      <c r="K72" s="3">
        <v>10</v>
      </c>
      <c r="L72" s="3">
        <v>12</v>
      </c>
      <c r="M72" s="3">
        <v>22</v>
      </c>
      <c r="N72" s="3">
        <v>4</v>
      </c>
      <c r="O72" s="3" t="s">
        <v>138</v>
      </c>
      <c r="P72" s="3">
        <v>6.3157177546007199</v>
      </c>
      <c r="Q72" s="3" t="s">
        <v>153</v>
      </c>
      <c r="R72" s="3" t="s">
        <v>147</v>
      </c>
      <c r="S72" s="3">
        <v>2</v>
      </c>
      <c r="T72" s="3">
        <v>375</v>
      </c>
      <c r="U72" s="3">
        <v>18</v>
      </c>
      <c r="V72" s="3">
        <v>97.113581563462205</v>
      </c>
      <c r="W72" s="3" t="s">
        <v>35</v>
      </c>
      <c r="X72" s="3">
        <f t="shared" si="3"/>
        <v>63.470971909573763</v>
      </c>
      <c r="Y72" s="3">
        <v>1.98346787217418E-2</v>
      </c>
      <c r="Z72" s="3">
        <v>1.9834678721741801</v>
      </c>
      <c r="AA72" s="3" t="s">
        <v>36</v>
      </c>
      <c r="AB72" s="3" t="s">
        <v>140</v>
      </c>
      <c r="AC72">
        <v>0.25896955083589923</v>
      </c>
      <c r="AD72">
        <v>6</v>
      </c>
      <c r="AE72">
        <v>1498.531515590515</v>
      </c>
      <c r="AF72">
        <v>5516.3564716128658</v>
      </c>
      <c r="AG72">
        <v>0.78637841141239195</v>
      </c>
    </row>
    <row r="73" spans="1:33" x14ac:dyDescent="0.35">
      <c r="A73" s="5" t="s">
        <v>42</v>
      </c>
      <c r="B73" s="8" t="s">
        <v>108</v>
      </c>
      <c r="C73" s="3">
        <v>6.3815331627479601</v>
      </c>
      <c r="D73" s="3">
        <v>4065.0366246704507</v>
      </c>
      <c r="E73" s="3">
        <v>-4115.3004607549892</v>
      </c>
      <c r="F73" s="3" t="str">
        <f t="shared" si="2"/>
        <v>Premium Markup</v>
      </c>
      <c r="G73" s="3">
        <v>14</v>
      </c>
      <c r="H73" s="3">
        <v>637</v>
      </c>
      <c r="I73" s="3">
        <v>8180.3370854254399</v>
      </c>
      <c r="J73" s="3" t="s">
        <v>30</v>
      </c>
      <c r="K73" s="3">
        <v>76</v>
      </c>
      <c r="L73" s="3">
        <v>2</v>
      </c>
      <c r="M73" s="3">
        <v>26</v>
      </c>
      <c r="N73" s="3">
        <v>6</v>
      </c>
      <c r="O73" s="3" t="s">
        <v>137</v>
      </c>
      <c r="P73" s="3">
        <v>9.2281903170525101</v>
      </c>
      <c r="Q73" s="3" t="s">
        <v>154</v>
      </c>
      <c r="R73" s="3" t="s">
        <v>144</v>
      </c>
      <c r="S73" s="3">
        <v>6</v>
      </c>
      <c r="T73" s="3">
        <v>955</v>
      </c>
      <c r="U73" s="3">
        <v>26</v>
      </c>
      <c r="V73" s="3">
        <v>4.4652784349432402</v>
      </c>
      <c r="W73" s="3" t="s">
        <v>26</v>
      </c>
      <c r="X73" s="3">
        <f t="shared" si="3"/>
        <v>2635.8276799724372</v>
      </c>
      <c r="Y73" s="3">
        <v>4.1378770486223501E-2</v>
      </c>
      <c r="Z73" s="3">
        <v>4.1378770486223502</v>
      </c>
      <c r="AA73" s="3" t="s">
        <v>27</v>
      </c>
      <c r="AB73" s="3" t="s">
        <v>142</v>
      </c>
      <c r="AC73">
        <v>4.6756842250714557E-3</v>
      </c>
      <c r="AD73">
        <v>12</v>
      </c>
      <c r="AE73">
        <v>2949.8927781401999</v>
      </c>
      <c r="AF73">
        <v>5230.44430728524</v>
      </c>
      <c r="AG73">
        <v>0.6393922710842932</v>
      </c>
    </row>
    <row r="74" spans="1:33" x14ac:dyDescent="0.35">
      <c r="A74" s="5" t="s">
        <v>42</v>
      </c>
      <c r="B74" s="8" t="s">
        <v>109</v>
      </c>
      <c r="C74" s="3">
        <v>90.204427520528</v>
      </c>
      <c r="D74" s="3">
        <v>43117.716354812386</v>
      </c>
      <c r="E74" s="3">
        <v>40484.594373500135</v>
      </c>
      <c r="F74" s="3" t="str">
        <f t="shared" si="2"/>
        <v>Discount Applied</v>
      </c>
      <c r="G74" s="3">
        <v>88</v>
      </c>
      <c r="H74" s="3">
        <v>478</v>
      </c>
      <c r="I74" s="3">
        <v>2633.1219813122498</v>
      </c>
      <c r="J74" s="3" t="s">
        <v>25</v>
      </c>
      <c r="K74" s="3">
        <v>57</v>
      </c>
      <c r="L74" s="3">
        <v>29</v>
      </c>
      <c r="M74" s="3">
        <v>77</v>
      </c>
      <c r="N74" s="3">
        <v>9</v>
      </c>
      <c r="O74" s="3" t="s">
        <v>137</v>
      </c>
      <c r="P74" s="3">
        <v>6.5996141596895397</v>
      </c>
      <c r="Q74" s="3" t="s">
        <v>153</v>
      </c>
      <c r="R74" s="3" t="s">
        <v>146</v>
      </c>
      <c r="S74" s="3">
        <v>27</v>
      </c>
      <c r="T74" s="3">
        <v>918</v>
      </c>
      <c r="U74" s="3">
        <v>5</v>
      </c>
      <c r="V74" s="3">
        <v>30.323545256616502</v>
      </c>
      <c r="W74" s="3" t="s">
        <v>35</v>
      </c>
      <c r="X74" s="3">
        <f t="shared" si="3"/>
        <v>2174.3835971914696</v>
      </c>
      <c r="Y74" s="3">
        <v>4.5489196593963797E-2</v>
      </c>
      <c r="Z74" s="3">
        <v>4.5489196593963799</v>
      </c>
      <c r="AA74" s="3" t="s">
        <v>41</v>
      </c>
      <c r="AB74" s="3" t="s">
        <v>141</v>
      </c>
      <c r="AC74">
        <v>3.3032184375399239E-2</v>
      </c>
      <c r="AD74">
        <v>36</v>
      </c>
      <c r="AE74">
        <v>1615.06463976239</v>
      </c>
      <c r="AF74">
        <v>1018.0573415498598</v>
      </c>
      <c r="AG74">
        <v>0.38663508518602618</v>
      </c>
    </row>
    <row r="75" spans="1:33" x14ac:dyDescent="0.35">
      <c r="A75" s="5" t="s">
        <v>42</v>
      </c>
      <c r="B75" s="8" t="s">
        <v>110</v>
      </c>
      <c r="C75" s="3">
        <v>83.851017681304597</v>
      </c>
      <c r="D75" s="3">
        <v>31444.131630489224</v>
      </c>
      <c r="E75" s="3">
        <v>23533.244714348544</v>
      </c>
      <c r="F75" s="3" t="str">
        <f t="shared" si="2"/>
        <v>Discount Applied</v>
      </c>
      <c r="G75" s="3">
        <v>41</v>
      </c>
      <c r="H75" s="3">
        <v>375</v>
      </c>
      <c r="I75" s="3">
        <v>7910.8869161406801</v>
      </c>
      <c r="J75" s="3" t="s">
        <v>40</v>
      </c>
      <c r="K75" s="3">
        <v>17</v>
      </c>
      <c r="L75" s="3">
        <v>25</v>
      </c>
      <c r="M75" s="3">
        <v>66</v>
      </c>
      <c r="N75" s="3">
        <v>5</v>
      </c>
      <c r="O75" s="3" t="s">
        <v>138</v>
      </c>
      <c r="P75" s="3">
        <v>1.5129368369160701</v>
      </c>
      <c r="Q75" s="3" t="s">
        <v>156</v>
      </c>
      <c r="R75" s="3" t="s">
        <v>145</v>
      </c>
      <c r="S75" s="3">
        <v>3</v>
      </c>
      <c r="T75" s="3">
        <v>563</v>
      </c>
      <c r="U75" s="3">
        <v>3</v>
      </c>
      <c r="V75" s="3">
        <v>32.321286213424003</v>
      </c>
      <c r="W75" s="3" t="s">
        <v>35</v>
      </c>
      <c r="X75" s="3">
        <f t="shared" si="3"/>
        <v>810.47015533346621</v>
      </c>
      <c r="Y75" s="3">
        <v>2.16125374755591E-2</v>
      </c>
      <c r="Z75" s="3">
        <v>2.1612537475559099</v>
      </c>
      <c r="AA75" s="3" t="s">
        <v>27</v>
      </c>
      <c r="AB75" s="3" t="s">
        <v>141</v>
      </c>
      <c r="AC75">
        <v>5.740903412686324E-2</v>
      </c>
      <c r="AD75">
        <v>8</v>
      </c>
      <c r="AE75">
        <v>2014.84394536885</v>
      </c>
      <c r="AF75">
        <v>5896.0429707718304</v>
      </c>
      <c r="AG75">
        <v>0.74530745203070226</v>
      </c>
    </row>
    <row r="76" spans="1:33" x14ac:dyDescent="0.35">
      <c r="A76" s="5" t="s">
        <v>23</v>
      </c>
      <c r="B76" s="8" t="s">
        <v>111</v>
      </c>
      <c r="C76" s="3">
        <v>3.1700114135661499</v>
      </c>
      <c r="D76" s="3">
        <v>2865.6903178637995</v>
      </c>
      <c r="E76" s="3">
        <v>-2844.2549781054804</v>
      </c>
      <c r="F76" s="3" t="str">
        <f t="shared" si="2"/>
        <v>Premium Markup</v>
      </c>
      <c r="G76" s="3">
        <v>64</v>
      </c>
      <c r="H76" s="3">
        <v>904</v>
      </c>
      <c r="I76" s="3">
        <v>5709.9452959692799</v>
      </c>
      <c r="J76" s="3" t="s">
        <v>30</v>
      </c>
      <c r="K76" s="3">
        <v>41</v>
      </c>
      <c r="L76" s="3">
        <v>6</v>
      </c>
      <c r="M76" s="3">
        <v>1</v>
      </c>
      <c r="N76" s="3">
        <v>5</v>
      </c>
      <c r="O76" s="3" t="s">
        <v>137</v>
      </c>
      <c r="P76" s="3">
        <v>5.2376546500374399</v>
      </c>
      <c r="Q76" s="3" t="s">
        <v>156</v>
      </c>
      <c r="R76" s="3" t="s">
        <v>147</v>
      </c>
      <c r="S76" s="3">
        <v>10</v>
      </c>
      <c r="T76" s="3">
        <v>104</v>
      </c>
      <c r="U76" s="3">
        <v>17</v>
      </c>
      <c r="V76" s="3">
        <v>56.766475557431797</v>
      </c>
      <c r="W76" s="3" t="s">
        <v>35</v>
      </c>
      <c r="X76" s="3">
        <f t="shared" si="3"/>
        <v>2512.3909344603285</v>
      </c>
      <c r="Y76" s="3">
        <v>2.77919351157116E-2</v>
      </c>
      <c r="Z76" s="3">
        <v>2.7791935115711599</v>
      </c>
      <c r="AA76" s="3" t="s">
        <v>27</v>
      </c>
      <c r="AB76" s="3" t="s">
        <v>140</v>
      </c>
      <c r="AC76">
        <v>0.54583149574453649</v>
      </c>
      <c r="AD76">
        <v>15</v>
      </c>
      <c r="AE76">
        <v>1177.3061836776851</v>
      </c>
      <c r="AF76">
        <v>4532.6391122915948</v>
      </c>
      <c r="AG76">
        <v>0.79381480510701918</v>
      </c>
    </row>
    <row r="77" spans="1:33" x14ac:dyDescent="0.35">
      <c r="A77" s="5" t="s">
        <v>28</v>
      </c>
      <c r="B77" s="8" t="s">
        <v>112</v>
      </c>
      <c r="C77" s="3">
        <v>92.996884233970604</v>
      </c>
      <c r="D77" s="3">
        <v>9857.6697288008836</v>
      </c>
      <c r="E77" s="3">
        <v>7968.5961390215534</v>
      </c>
      <c r="F77" s="3" t="str">
        <f t="shared" si="2"/>
        <v>Discount Applied</v>
      </c>
      <c r="G77" s="3">
        <v>29</v>
      </c>
      <c r="H77" s="3">
        <v>106</v>
      </c>
      <c r="I77" s="3">
        <v>1889.07358977933</v>
      </c>
      <c r="J77" s="3" t="s">
        <v>25</v>
      </c>
      <c r="K77" s="3">
        <v>16</v>
      </c>
      <c r="L77" s="3">
        <v>20</v>
      </c>
      <c r="M77" s="3">
        <v>56</v>
      </c>
      <c r="N77" s="3">
        <v>10</v>
      </c>
      <c r="O77" s="3" t="s">
        <v>139</v>
      </c>
      <c r="P77" s="3">
        <v>2.47389776104546</v>
      </c>
      <c r="Q77" s="3" t="s">
        <v>153</v>
      </c>
      <c r="R77" s="3" t="s">
        <v>145</v>
      </c>
      <c r="S77" s="3">
        <v>27</v>
      </c>
      <c r="T77" s="3">
        <v>806</v>
      </c>
      <c r="U77" s="3">
        <v>30</v>
      </c>
      <c r="V77" s="3">
        <v>51.634893400109299</v>
      </c>
      <c r="W77" s="3" t="s">
        <v>26</v>
      </c>
      <c r="X77" s="3">
        <f t="shared" si="3"/>
        <v>102.33183876735366</v>
      </c>
      <c r="Y77" s="3">
        <v>9.6539470535239296E-3</v>
      </c>
      <c r="Z77" s="3">
        <v>0.96539470535239302</v>
      </c>
      <c r="AA77" s="3" t="s">
        <v>27</v>
      </c>
      <c r="AB77" s="3" t="s">
        <v>142</v>
      </c>
      <c r="AC77">
        <v>6.4063143176314272E-2</v>
      </c>
      <c r="AD77">
        <v>37</v>
      </c>
      <c r="AE77">
        <v>4400.4049412358054</v>
      </c>
      <c r="AF77">
        <v>-2511.3313514564752</v>
      </c>
      <c r="AG77">
        <v>-1.3293983702084542</v>
      </c>
    </row>
    <row r="78" spans="1:33" x14ac:dyDescent="0.35">
      <c r="A78" s="5" t="s">
        <v>23</v>
      </c>
      <c r="B78" s="8" t="s">
        <v>113</v>
      </c>
      <c r="C78" s="3">
        <v>69.108799547430294</v>
      </c>
      <c r="D78" s="3">
        <v>16655.220690930702</v>
      </c>
      <c r="E78" s="3">
        <v>11326.844706632954</v>
      </c>
      <c r="F78" s="3" t="str">
        <f t="shared" si="2"/>
        <v>Discount Applied</v>
      </c>
      <c r="G78" s="3">
        <v>23</v>
      </c>
      <c r="H78" s="3">
        <v>241</v>
      </c>
      <c r="I78" s="3">
        <v>5328.3759842977497</v>
      </c>
      <c r="J78" s="3" t="s">
        <v>40</v>
      </c>
      <c r="K78" s="3">
        <v>38</v>
      </c>
      <c r="L78" s="3">
        <v>1</v>
      </c>
      <c r="M78" s="3">
        <v>22</v>
      </c>
      <c r="N78" s="3">
        <v>10</v>
      </c>
      <c r="O78" s="3" t="s">
        <v>137</v>
      </c>
      <c r="P78" s="3">
        <v>7.0545383368369201</v>
      </c>
      <c r="Q78" s="3" t="s">
        <v>154</v>
      </c>
      <c r="R78" s="3" t="s">
        <v>144</v>
      </c>
      <c r="S78" s="3">
        <v>25</v>
      </c>
      <c r="T78" s="3">
        <v>291</v>
      </c>
      <c r="U78" s="3">
        <v>4</v>
      </c>
      <c r="V78" s="3">
        <v>10.5282450700421</v>
      </c>
      <c r="W78" s="3" t="s">
        <v>35</v>
      </c>
      <c r="X78" s="3">
        <f t="shared" si="3"/>
        <v>690.38494892989218</v>
      </c>
      <c r="Y78" s="3">
        <v>2.8646678378833702E-2</v>
      </c>
      <c r="Z78" s="3">
        <v>2.8646678378833701</v>
      </c>
      <c r="AA78" s="3" t="s">
        <v>41</v>
      </c>
      <c r="AB78" s="3" t="s">
        <v>141</v>
      </c>
      <c r="AC78">
        <v>3.6179536323168726E-2</v>
      </c>
      <c r="AD78">
        <v>35</v>
      </c>
      <c r="AE78">
        <v>3812.2959107784154</v>
      </c>
      <c r="AF78">
        <v>1516.0800735193343</v>
      </c>
      <c r="AG78">
        <v>0.28452948477868067</v>
      </c>
    </row>
    <row r="79" spans="1:33" x14ac:dyDescent="0.35">
      <c r="A79" s="5" t="s">
        <v>23</v>
      </c>
      <c r="B79" s="8" t="s">
        <v>114</v>
      </c>
      <c r="C79" s="3">
        <v>57.449742958971399</v>
      </c>
      <c r="D79" s="3">
        <v>20624.457722270734</v>
      </c>
      <c r="E79" s="3">
        <v>18140.697544727944</v>
      </c>
      <c r="F79" s="3" t="str">
        <f t="shared" si="2"/>
        <v>Discount Applied</v>
      </c>
      <c r="G79" s="3">
        <v>14</v>
      </c>
      <c r="H79" s="3">
        <v>359</v>
      </c>
      <c r="I79" s="3">
        <v>2483.7601775427902</v>
      </c>
      <c r="J79" s="3" t="s">
        <v>32</v>
      </c>
      <c r="K79" s="3">
        <v>96</v>
      </c>
      <c r="L79" s="3">
        <v>28</v>
      </c>
      <c r="M79" s="3">
        <v>57</v>
      </c>
      <c r="N79" s="3">
        <v>4</v>
      </c>
      <c r="O79" s="3" t="s">
        <v>138</v>
      </c>
      <c r="P79" s="3">
        <v>6.7809466256178901</v>
      </c>
      <c r="Q79" s="3" t="s">
        <v>153</v>
      </c>
      <c r="R79" s="3" t="s">
        <v>146</v>
      </c>
      <c r="S79" s="3">
        <v>5</v>
      </c>
      <c r="T79" s="3">
        <v>414</v>
      </c>
      <c r="U79" s="3">
        <v>3</v>
      </c>
      <c r="V79" s="3">
        <v>92.065160598712794</v>
      </c>
      <c r="W79" s="3" t="s">
        <v>35</v>
      </c>
      <c r="X79" s="3">
        <f t="shared" si="3"/>
        <v>1129.263048697047</v>
      </c>
      <c r="Y79" s="3">
        <v>3.1455795228330002E-2</v>
      </c>
      <c r="Z79" s="3">
        <v>3.1455795228330001</v>
      </c>
      <c r="AA79" s="3" t="s">
        <v>33</v>
      </c>
      <c r="AB79" s="3" t="s">
        <v>140</v>
      </c>
      <c r="AC79">
        <v>0.22237961497273623</v>
      </c>
      <c r="AD79">
        <v>9</v>
      </c>
      <c r="AE79">
        <v>4617.2031585596105</v>
      </c>
      <c r="AF79">
        <v>-2133.4429810168203</v>
      </c>
      <c r="AG79">
        <v>-0.85895691552936393</v>
      </c>
    </row>
    <row r="80" spans="1:33" x14ac:dyDescent="0.35">
      <c r="A80" s="5" t="s">
        <v>23</v>
      </c>
      <c r="B80" s="8" t="s">
        <v>115</v>
      </c>
      <c r="C80" s="3">
        <v>6.30688317611191</v>
      </c>
      <c r="D80" s="3">
        <v>5966.3114846018671</v>
      </c>
      <c r="E80" s="3">
        <v>4673.8530666641173</v>
      </c>
      <c r="F80" s="3" t="str">
        <f t="shared" si="2"/>
        <v>Discount Applied</v>
      </c>
      <c r="G80" s="3">
        <v>50</v>
      </c>
      <c r="H80" s="3">
        <v>946</v>
      </c>
      <c r="I80" s="3">
        <v>1292.45841793775</v>
      </c>
      <c r="J80" s="3" t="s">
        <v>32</v>
      </c>
      <c r="K80" s="3">
        <v>5</v>
      </c>
      <c r="L80" s="3">
        <v>4</v>
      </c>
      <c r="M80" s="3">
        <v>51</v>
      </c>
      <c r="N80" s="3">
        <v>5</v>
      </c>
      <c r="O80" s="3" t="s">
        <v>138</v>
      </c>
      <c r="P80" s="3">
        <v>8.4670497708619905</v>
      </c>
      <c r="Q80" s="3" t="s">
        <v>157</v>
      </c>
      <c r="R80" s="3" t="s">
        <v>143</v>
      </c>
      <c r="S80" s="3">
        <v>7</v>
      </c>
      <c r="T80" s="3">
        <v>453</v>
      </c>
      <c r="U80" s="3">
        <v>16</v>
      </c>
      <c r="V80" s="3">
        <v>47.679680368355299</v>
      </c>
      <c r="W80" s="3" t="s">
        <v>35</v>
      </c>
      <c r="X80" s="3">
        <f t="shared" si="3"/>
        <v>96.511634152594496</v>
      </c>
      <c r="Y80" s="3">
        <v>1.0202075491817599E-3</v>
      </c>
      <c r="Z80" s="3">
        <v>0.102020754918176</v>
      </c>
      <c r="AA80" s="3" t="s">
        <v>33</v>
      </c>
      <c r="AB80" s="3" t="s">
        <v>142</v>
      </c>
      <c r="AC80">
        <v>0.10525315754603819</v>
      </c>
      <c r="AD80">
        <v>12</v>
      </c>
      <c r="AE80">
        <v>3354.6719539620499</v>
      </c>
      <c r="AF80">
        <v>-2062.2135360243001</v>
      </c>
      <c r="AG80">
        <v>-1.595574377792961</v>
      </c>
    </row>
    <row r="81" spans="1:33" x14ac:dyDescent="0.35">
      <c r="A81" s="5" t="s">
        <v>23</v>
      </c>
      <c r="B81" s="8" t="s">
        <v>116</v>
      </c>
      <c r="C81" s="3">
        <v>57.057031221103202</v>
      </c>
      <c r="D81" s="3">
        <v>11297.292181778434</v>
      </c>
      <c r="E81" s="3">
        <v>3408.5689133513533</v>
      </c>
      <c r="F81" s="3" t="str">
        <f t="shared" si="2"/>
        <v>Discount Applied</v>
      </c>
      <c r="G81" s="3">
        <v>56</v>
      </c>
      <c r="H81" s="3">
        <v>198</v>
      </c>
      <c r="I81" s="3">
        <v>7888.7232684270803</v>
      </c>
      <c r="J81" s="3" t="s">
        <v>25</v>
      </c>
      <c r="K81" s="3">
        <v>31</v>
      </c>
      <c r="L81" s="3">
        <v>25</v>
      </c>
      <c r="M81" s="3">
        <v>20</v>
      </c>
      <c r="N81" s="3">
        <v>1</v>
      </c>
      <c r="O81" s="3" t="s">
        <v>138</v>
      </c>
      <c r="P81" s="3">
        <v>6.49632536429504</v>
      </c>
      <c r="Q81" s="3" t="s">
        <v>155</v>
      </c>
      <c r="R81" s="3" t="s">
        <v>147</v>
      </c>
      <c r="S81" s="3">
        <v>21</v>
      </c>
      <c r="T81" s="3">
        <v>152</v>
      </c>
      <c r="U81" s="3">
        <v>11</v>
      </c>
      <c r="V81" s="3">
        <v>55.760492895244198</v>
      </c>
      <c r="W81" s="3" t="s">
        <v>26</v>
      </c>
      <c r="X81" s="3">
        <f t="shared" si="3"/>
        <v>636.23926227278344</v>
      </c>
      <c r="Y81" s="3">
        <v>3.2133296074382998E-2</v>
      </c>
      <c r="Z81" s="3">
        <v>3.2133296074383</v>
      </c>
      <c r="AA81" s="3" t="s">
        <v>36</v>
      </c>
      <c r="AB81" s="3" t="s">
        <v>141</v>
      </c>
      <c r="AC81">
        <v>0.3668453479950276</v>
      </c>
      <c r="AD81">
        <v>22</v>
      </c>
      <c r="AE81">
        <v>3389.722849230915</v>
      </c>
      <c r="AF81">
        <v>4499.0004191961652</v>
      </c>
      <c r="AG81">
        <v>0.57030780090898203</v>
      </c>
    </row>
    <row r="82" spans="1:33" x14ac:dyDescent="0.35">
      <c r="A82" s="5" t="s">
        <v>28</v>
      </c>
      <c r="B82" s="8" t="s">
        <v>117</v>
      </c>
      <c r="C82" s="3">
        <v>91.128318350444303</v>
      </c>
      <c r="D82" s="3">
        <v>79463.893601587435</v>
      </c>
      <c r="E82" s="3">
        <v>70812.220918605381</v>
      </c>
      <c r="F82" s="3" t="str">
        <f t="shared" si="2"/>
        <v>Discount Applied</v>
      </c>
      <c r="G82" s="3">
        <v>75</v>
      </c>
      <c r="H82" s="3">
        <v>872</v>
      </c>
      <c r="I82" s="3">
        <v>8651.67268298206</v>
      </c>
      <c r="J82" s="3" t="s">
        <v>32</v>
      </c>
      <c r="K82" s="3">
        <v>39</v>
      </c>
      <c r="L82" s="3">
        <v>14</v>
      </c>
      <c r="M82" s="3">
        <v>41</v>
      </c>
      <c r="N82" s="3">
        <v>2</v>
      </c>
      <c r="O82" s="3" t="s">
        <v>139</v>
      </c>
      <c r="P82" s="3">
        <v>2.8331846794189701</v>
      </c>
      <c r="Q82" s="3" t="s">
        <v>155</v>
      </c>
      <c r="R82" s="3" t="s">
        <v>143</v>
      </c>
      <c r="S82" s="3">
        <v>18</v>
      </c>
      <c r="T82" s="3">
        <v>870</v>
      </c>
      <c r="U82" s="3">
        <v>23</v>
      </c>
      <c r="V82" s="3">
        <v>77.322353211051606</v>
      </c>
      <c r="W82" s="3" t="s">
        <v>26</v>
      </c>
      <c r="X82" s="3">
        <f t="shared" si="3"/>
        <v>3181.5884366915661</v>
      </c>
      <c r="Y82" s="3">
        <v>3.6486105925362E-2</v>
      </c>
      <c r="Z82" s="3">
        <v>3.6486105925361998</v>
      </c>
      <c r="AA82" s="3" t="s">
        <v>27</v>
      </c>
      <c r="AB82" s="3" t="s">
        <v>141</v>
      </c>
      <c r="AC82">
        <v>8.8876268058680014E-2</v>
      </c>
      <c r="AD82">
        <v>20</v>
      </c>
      <c r="AE82">
        <v>1902.17968555982</v>
      </c>
      <c r="AF82">
        <v>6749.4929974222396</v>
      </c>
      <c r="AG82">
        <v>0.78013734970563209</v>
      </c>
    </row>
    <row r="83" spans="1:33" x14ac:dyDescent="0.35">
      <c r="A83" s="5" t="s">
        <v>23</v>
      </c>
      <c r="B83" s="8" t="s">
        <v>118</v>
      </c>
      <c r="C83" s="3">
        <v>72.819206930318202</v>
      </c>
      <c r="D83" s="3">
        <v>56362.066164066287</v>
      </c>
      <c r="E83" s="3">
        <v>51977.652764020429</v>
      </c>
      <c r="F83" s="3" t="str">
        <f t="shared" si="2"/>
        <v>Discount Applied</v>
      </c>
      <c r="G83" s="3">
        <v>9</v>
      </c>
      <c r="H83" s="3">
        <v>774</v>
      </c>
      <c r="I83" s="3">
        <v>4384.4134000458598</v>
      </c>
      <c r="J83" s="3" t="s">
        <v>32</v>
      </c>
      <c r="K83" s="3">
        <v>48</v>
      </c>
      <c r="L83" s="3">
        <v>6</v>
      </c>
      <c r="M83" s="3">
        <v>8</v>
      </c>
      <c r="N83" s="3">
        <v>5</v>
      </c>
      <c r="O83" s="3" t="s">
        <v>138</v>
      </c>
      <c r="P83" s="3">
        <v>4.0662775015120403</v>
      </c>
      <c r="Q83" s="3" t="s">
        <v>155</v>
      </c>
      <c r="R83" s="3" t="s">
        <v>143</v>
      </c>
      <c r="S83" s="3">
        <v>20</v>
      </c>
      <c r="T83" s="3">
        <v>694</v>
      </c>
      <c r="U83" s="3">
        <v>16</v>
      </c>
      <c r="V83" s="3">
        <v>82.373320587990193</v>
      </c>
      <c r="W83" s="3" t="s">
        <v>35</v>
      </c>
      <c r="X83" s="3">
        <f t="shared" si="3"/>
        <v>2822.3529698327734</v>
      </c>
      <c r="Y83" s="3">
        <v>3.6464508654170197E-2</v>
      </c>
      <c r="Z83" s="3">
        <v>3.64645086541702</v>
      </c>
      <c r="AA83" s="3" t="s">
        <v>27</v>
      </c>
      <c r="AB83" s="3" t="s">
        <v>142</v>
      </c>
      <c r="AC83">
        <v>0.11869354551583601</v>
      </c>
      <c r="AD83">
        <v>25</v>
      </c>
      <c r="AE83">
        <v>2386.5381554545147</v>
      </c>
      <c r="AF83">
        <v>1997.8752445913451</v>
      </c>
      <c r="AG83">
        <v>0.45567674904251682</v>
      </c>
    </row>
    <row r="84" spans="1:33" x14ac:dyDescent="0.35">
      <c r="A84" s="5" t="s">
        <v>28</v>
      </c>
      <c r="B84" s="8" t="s">
        <v>119</v>
      </c>
      <c r="C84" s="3">
        <v>17.034930739467899</v>
      </c>
      <c r="D84" s="3">
        <v>5723.7367284612146</v>
      </c>
      <c r="E84" s="3">
        <v>2780.3548608517644</v>
      </c>
      <c r="F84" s="3" t="str">
        <f t="shared" si="2"/>
        <v>Discount Applied</v>
      </c>
      <c r="G84" s="3">
        <v>13</v>
      </c>
      <c r="H84" s="3">
        <v>336</v>
      </c>
      <c r="I84" s="3">
        <v>2943.3818676094502</v>
      </c>
      <c r="J84" s="3" t="s">
        <v>32</v>
      </c>
      <c r="K84" s="3">
        <v>42</v>
      </c>
      <c r="L84" s="3">
        <v>19</v>
      </c>
      <c r="M84" s="3">
        <v>72</v>
      </c>
      <c r="N84" s="3">
        <v>1</v>
      </c>
      <c r="O84" s="3" t="s">
        <v>137</v>
      </c>
      <c r="P84" s="3">
        <v>4.7081818735419301</v>
      </c>
      <c r="Q84" s="3" t="s">
        <v>154</v>
      </c>
      <c r="R84" s="3" t="s">
        <v>145</v>
      </c>
      <c r="S84" s="3">
        <v>26</v>
      </c>
      <c r="T84" s="3">
        <v>334</v>
      </c>
      <c r="U84" s="3">
        <v>5</v>
      </c>
      <c r="V84" s="3">
        <v>42.952444748991802</v>
      </c>
      <c r="W84" s="3" t="s">
        <v>47</v>
      </c>
      <c r="X84" s="3">
        <f t="shared" si="3"/>
        <v>1026.5276509513333</v>
      </c>
      <c r="Y84" s="3">
        <v>3.0551418183075399E-2</v>
      </c>
      <c r="Z84" s="3">
        <v>3.0551418183075398</v>
      </c>
      <c r="AA84" s="3" t="s">
        <v>27</v>
      </c>
      <c r="AB84" s="3" t="s">
        <v>141</v>
      </c>
      <c r="AC84">
        <v>0.12860013397901737</v>
      </c>
      <c r="AD84">
        <v>27</v>
      </c>
      <c r="AE84">
        <v>4262.8404945992497</v>
      </c>
      <c r="AF84">
        <v>-1319.4586269897995</v>
      </c>
      <c r="AG84">
        <v>-0.4482797973004552</v>
      </c>
    </row>
    <row r="85" spans="1:33" x14ac:dyDescent="0.35">
      <c r="A85" s="5" t="s">
        <v>23</v>
      </c>
      <c r="B85" s="8" t="s">
        <v>120</v>
      </c>
      <c r="C85" s="3">
        <v>68.911246211606297</v>
      </c>
      <c r="D85" s="3">
        <v>45688.156238294978</v>
      </c>
      <c r="E85" s="3">
        <v>43276.401606184489</v>
      </c>
      <c r="F85" s="3" t="str">
        <f t="shared" si="2"/>
        <v>Discount Applied</v>
      </c>
      <c r="G85" s="3">
        <v>82</v>
      </c>
      <c r="H85" s="3">
        <v>663</v>
      </c>
      <c r="I85" s="3">
        <v>2411.7546321104901</v>
      </c>
      <c r="J85" s="3" t="s">
        <v>32</v>
      </c>
      <c r="K85" s="3">
        <v>65</v>
      </c>
      <c r="L85" s="3">
        <v>24</v>
      </c>
      <c r="M85" s="3">
        <v>7</v>
      </c>
      <c r="N85" s="3">
        <v>8</v>
      </c>
      <c r="O85" s="3" t="s">
        <v>138</v>
      </c>
      <c r="P85" s="3">
        <v>4.94983957799694</v>
      </c>
      <c r="Q85" s="3" t="s">
        <v>153</v>
      </c>
      <c r="R85" s="3" t="s">
        <v>145</v>
      </c>
      <c r="S85" s="3">
        <v>24</v>
      </c>
      <c r="T85" s="3">
        <v>867</v>
      </c>
      <c r="U85" s="3">
        <v>15</v>
      </c>
      <c r="V85" s="3">
        <v>34.343277465075303</v>
      </c>
      <c r="W85" s="3" t="s">
        <v>26</v>
      </c>
      <c r="X85" s="3">
        <f t="shared" si="3"/>
        <v>1730.6210002542969</v>
      </c>
      <c r="Y85" s="3">
        <v>2.61028808484811E-2</v>
      </c>
      <c r="Z85" s="3">
        <v>2.61028808484811</v>
      </c>
      <c r="AA85" s="3" t="s">
        <v>41</v>
      </c>
      <c r="AB85" s="3" t="s">
        <v>140</v>
      </c>
      <c r="AC85">
        <v>3.9611623373789276E-2</v>
      </c>
      <c r="AD85">
        <v>32</v>
      </c>
      <c r="AE85">
        <v>919.66484021796998</v>
      </c>
      <c r="AF85">
        <v>1492.0897918925202</v>
      </c>
      <c r="AG85">
        <v>0.61867396128387031</v>
      </c>
    </row>
    <row r="86" spans="1:33" x14ac:dyDescent="0.35">
      <c r="A86" s="5" t="s">
        <v>23</v>
      </c>
      <c r="B86" s="8" t="s">
        <v>121</v>
      </c>
      <c r="C86" s="3">
        <v>89.104367292102197</v>
      </c>
      <c r="D86" s="3">
        <v>55066.49898651916</v>
      </c>
      <c r="E86" s="3">
        <v>53018.208886670451</v>
      </c>
      <c r="F86" s="3" t="str">
        <f t="shared" si="2"/>
        <v>Discount Applied</v>
      </c>
      <c r="G86" s="3">
        <v>99</v>
      </c>
      <c r="H86" s="3">
        <v>618</v>
      </c>
      <c r="I86" s="3">
        <v>2048.2900998487098</v>
      </c>
      <c r="J86" s="3" t="s">
        <v>32</v>
      </c>
      <c r="K86" s="3">
        <v>73</v>
      </c>
      <c r="L86" s="3">
        <v>26</v>
      </c>
      <c r="M86" s="3">
        <v>80</v>
      </c>
      <c r="N86" s="3">
        <v>10</v>
      </c>
      <c r="O86" s="3" t="s">
        <v>137</v>
      </c>
      <c r="P86" s="3">
        <v>8.3816156249226292</v>
      </c>
      <c r="Q86" s="3" t="s">
        <v>157</v>
      </c>
      <c r="R86" s="3" t="s">
        <v>145</v>
      </c>
      <c r="S86" s="3">
        <v>22</v>
      </c>
      <c r="T86" s="3">
        <v>780</v>
      </c>
      <c r="U86" s="3">
        <v>28</v>
      </c>
      <c r="V86" s="3">
        <v>50.120839612977299</v>
      </c>
      <c r="W86" s="3" t="s">
        <v>35</v>
      </c>
      <c r="X86" s="3">
        <f t="shared" si="3"/>
        <v>1601.4082424444659</v>
      </c>
      <c r="Y86" s="3">
        <v>2.5912754732111097E-2</v>
      </c>
      <c r="Z86" s="3">
        <v>2.5912754732111098</v>
      </c>
      <c r="AA86" s="3" t="s">
        <v>36</v>
      </c>
      <c r="AB86" s="3" t="s">
        <v>142</v>
      </c>
      <c r="AC86">
        <v>6.4257486683304235E-2</v>
      </c>
      <c r="AD86">
        <v>32</v>
      </c>
      <c r="AE86">
        <v>1027.8599791347349</v>
      </c>
      <c r="AF86">
        <v>1020.4301207139749</v>
      </c>
      <c r="AG86">
        <v>0.49818632662890167</v>
      </c>
    </row>
    <row r="87" spans="1:33" x14ac:dyDescent="0.35">
      <c r="A87" s="5" t="s">
        <v>42</v>
      </c>
      <c r="B87" s="8" t="s">
        <v>122</v>
      </c>
      <c r="C87" s="3">
        <v>76.962994415193805</v>
      </c>
      <c r="D87" s="3">
        <v>1924.0748603798452</v>
      </c>
      <c r="E87" s="3">
        <v>-6760.5381988740046</v>
      </c>
      <c r="F87" s="3" t="str">
        <f t="shared" si="2"/>
        <v>Premium Markup</v>
      </c>
      <c r="G87" s="3">
        <v>83</v>
      </c>
      <c r="H87" s="3">
        <v>25</v>
      </c>
      <c r="I87" s="3">
        <v>8684.6130592538502</v>
      </c>
      <c r="J87" s="3" t="s">
        <v>30</v>
      </c>
      <c r="K87" s="3">
        <v>15</v>
      </c>
      <c r="L87" s="3">
        <v>18</v>
      </c>
      <c r="M87" s="3">
        <v>66</v>
      </c>
      <c r="N87" s="3">
        <v>2</v>
      </c>
      <c r="O87" s="3" t="s">
        <v>139</v>
      </c>
      <c r="P87" s="3">
        <v>8.2491687048717193</v>
      </c>
      <c r="Q87" s="3" t="s">
        <v>157</v>
      </c>
      <c r="R87" s="3" t="s">
        <v>147</v>
      </c>
      <c r="S87" s="3">
        <v>20</v>
      </c>
      <c r="T87" s="3">
        <v>443</v>
      </c>
      <c r="U87" s="3">
        <v>5</v>
      </c>
      <c r="V87" s="3">
        <v>97.730593800533001</v>
      </c>
      <c r="W87" s="3" t="s">
        <v>35</v>
      </c>
      <c r="X87" s="3">
        <f t="shared" si="3"/>
        <v>19.325153351681177</v>
      </c>
      <c r="Y87" s="3">
        <v>7.7300613406724701E-3</v>
      </c>
      <c r="Z87" s="3">
        <v>0.77300613406724705</v>
      </c>
      <c r="AA87" s="3" t="s">
        <v>27</v>
      </c>
      <c r="AB87" s="3" t="s">
        <v>140</v>
      </c>
      <c r="AC87">
        <v>0.22061082122016479</v>
      </c>
      <c r="AD87">
        <v>22</v>
      </c>
      <c r="AE87">
        <v>3414.8550911304646</v>
      </c>
      <c r="AF87">
        <v>5269.7579681233856</v>
      </c>
      <c r="AG87">
        <v>0.60679248829724419</v>
      </c>
    </row>
    <row r="88" spans="1:33" x14ac:dyDescent="0.35">
      <c r="A88" s="5" t="s">
        <v>28</v>
      </c>
      <c r="B88" s="8" t="s">
        <v>123</v>
      </c>
      <c r="C88" s="3">
        <v>19.9981769404042</v>
      </c>
      <c r="D88" s="3">
        <v>4459.5934577101361</v>
      </c>
      <c r="E88" s="3">
        <v>3230.0024291451564</v>
      </c>
      <c r="F88" s="3" t="str">
        <f t="shared" si="2"/>
        <v>Discount Applied</v>
      </c>
      <c r="G88" s="3">
        <v>18</v>
      </c>
      <c r="H88" s="3">
        <v>223</v>
      </c>
      <c r="I88" s="3">
        <v>1229.59102856498</v>
      </c>
      <c r="J88" s="3" t="s">
        <v>32</v>
      </c>
      <c r="K88" s="3">
        <v>32</v>
      </c>
      <c r="L88" s="3">
        <v>14</v>
      </c>
      <c r="M88" s="3">
        <v>22</v>
      </c>
      <c r="N88" s="3">
        <v>6</v>
      </c>
      <c r="O88" s="3" t="s">
        <v>138</v>
      </c>
      <c r="P88" s="3">
        <v>1.4543053101535499</v>
      </c>
      <c r="Q88" s="3" t="s">
        <v>153</v>
      </c>
      <c r="R88" s="3" t="s">
        <v>145</v>
      </c>
      <c r="S88" s="3">
        <v>18</v>
      </c>
      <c r="T88" s="3">
        <v>830</v>
      </c>
      <c r="U88" s="3">
        <v>5</v>
      </c>
      <c r="V88" s="3">
        <v>96.527352785310896</v>
      </c>
      <c r="W88" s="3" t="s">
        <v>47</v>
      </c>
      <c r="X88" s="3">
        <f t="shared" si="3"/>
        <v>385.1910060233746</v>
      </c>
      <c r="Y88" s="3">
        <v>1.7273139283559402E-2</v>
      </c>
      <c r="Z88" s="3">
        <v>1.72731392835594</v>
      </c>
      <c r="AA88" s="3" t="s">
        <v>27</v>
      </c>
      <c r="AB88" s="3" t="s">
        <v>141</v>
      </c>
      <c r="AC88">
        <v>0.11629801540398903</v>
      </c>
      <c r="AD88">
        <v>24</v>
      </c>
      <c r="AE88">
        <v>4030.5158885146147</v>
      </c>
      <c r="AF88">
        <v>-2800.924859949635</v>
      </c>
      <c r="AG88">
        <v>-2.277932088703114</v>
      </c>
    </row>
    <row r="89" spans="1:33" x14ac:dyDescent="0.35">
      <c r="A89" s="5" t="s">
        <v>23</v>
      </c>
      <c r="B89" s="8" t="s">
        <v>124</v>
      </c>
      <c r="C89" s="3">
        <v>80.414036650355698</v>
      </c>
      <c r="D89" s="3">
        <v>6352.7088953781004</v>
      </c>
      <c r="E89" s="3">
        <v>1218.8621942914106</v>
      </c>
      <c r="F89" s="3" t="str">
        <f t="shared" si="2"/>
        <v>Discount Applied</v>
      </c>
      <c r="G89" s="3">
        <v>24</v>
      </c>
      <c r="H89" s="3">
        <v>79</v>
      </c>
      <c r="I89" s="3">
        <v>5133.8467010866898</v>
      </c>
      <c r="J89" s="3" t="s">
        <v>40</v>
      </c>
      <c r="K89" s="3">
        <v>5</v>
      </c>
      <c r="L89" s="3">
        <v>7</v>
      </c>
      <c r="M89" s="3">
        <v>55</v>
      </c>
      <c r="N89" s="3">
        <v>10</v>
      </c>
      <c r="O89" s="3" t="s">
        <v>137</v>
      </c>
      <c r="P89" s="3">
        <v>6.5758037975485299</v>
      </c>
      <c r="Q89" s="3" t="s">
        <v>155</v>
      </c>
      <c r="R89" s="3" t="s">
        <v>145</v>
      </c>
      <c r="S89" s="3">
        <v>19</v>
      </c>
      <c r="T89" s="3">
        <v>934</v>
      </c>
      <c r="U89" s="3">
        <v>23</v>
      </c>
      <c r="V89" s="3">
        <v>78.280383118415301</v>
      </c>
      <c r="W89" s="3" t="s">
        <v>26</v>
      </c>
      <c r="X89" s="3">
        <f t="shared" si="3"/>
        <v>299.98126615202023</v>
      </c>
      <c r="Y89" s="3">
        <v>3.7972312171141803E-2</v>
      </c>
      <c r="Z89" s="3">
        <v>3.79723121711418</v>
      </c>
      <c r="AA89" s="3" t="s">
        <v>27</v>
      </c>
      <c r="AB89" s="3" t="s">
        <v>141</v>
      </c>
      <c r="AC89">
        <v>8.3811973360187683E-2</v>
      </c>
      <c r="AD89">
        <v>29</v>
      </c>
      <c r="AE89">
        <v>2292.679728696045</v>
      </c>
      <c r="AF89">
        <v>2841.1669723906448</v>
      </c>
      <c r="AG89">
        <v>0.55341873994586754</v>
      </c>
    </row>
    <row r="90" spans="1:33" x14ac:dyDescent="0.35">
      <c r="A90" s="5" t="s">
        <v>42</v>
      </c>
      <c r="B90" s="8" t="s">
        <v>125</v>
      </c>
      <c r="C90" s="3">
        <v>75.270406975724995</v>
      </c>
      <c r="D90" s="3">
        <v>55474.289941109324</v>
      </c>
      <c r="E90" s="3">
        <v>46029.547908046341</v>
      </c>
      <c r="F90" s="3" t="str">
        <f t="shared" si="2"/>
        <v>Discount Applied</v>
      </c>
      <c r="G90" s="3">
        <v>58</v>
      </c>
      <c r="H90" s="3">
        <v>737</v>
      </c>
      <c r="I90" s="3">
        <v>9444.7420330629793</v>
      </c>
      <c r="J90" s="3" t="s">
        <v>40</v>
      </c>
      <c r="K90" s="3">
        <v>60</v>
      </c>
      <c r="L90" s="3">
        <v>18</v>
      </c>
      <c r="M90" s="3">
        <v>85</v>
      </c>
      <c r="N90" s="3">
        <v>7</v>
      </c>
      <c r="O90" s="3" t="s">
        <v>137</v>
      </c>
      <c r="P90" s="3">
        <v>3.8012531329310701</v>
      </c>
      <c r="Q90" s="3" t="s">
        <v>154</v>
      </c>
      <c r="R90" s="3" t="s">
        <v>144</v>
      </c>
      <c r="S90" s="3">
        <v>4</v>
      </c>
      <c r="T90" s="3">
        <v>671</v>
      </c>
      <c r="U90" s="3">
        <v>29</v>
      </c>
      <c r="V90" s="3">
        <v>62.612690395614301</v>
      </c>
      <c r="W90" s="3" t="s">
        <v>47</v>
      </c>
      <c r="X90" s="3">
        <f t="shared" si="3"/>
        <v>245.73925519063266</v>
      </c>
      <c r="Y90" s="3">
        <v>3.3343182522473903E-3</v>
      </c>
      <c r="Z90" s="3">
        <v>0.33343182522473902</v>
      </c>
      <c r="AA90" s="3" t="s">
        <v>36</v>
      </c>
      <c r="AB90" s="3" t="s">
        <v>141</v>
      </c>
      <c r="AC90">
        <v>9.3312504315371539E-2</v>
      </c>
      <c r="AD90">
        <v>11</v>
      </c>
      <c r="AE90">
        <v>1150.4639126838101</v>
      </c>
      <c r="AF90">
        <v>8294.2781203791692</v>
      </c>
      <c r="AG90">
        <v>0.87819001210870462</v>
      </c>
    </row>
    <row r="91" spans="1:33" x14ac:dyDescent="0.35">
      <c r="A91" s="5" t="s">
        <v>42</v>
      </c>
      <c r="B91" s="8" t="s">
        <v>126</v>
      </c>
      <c r="C91" s="3">
        <v>97.760085581938597</v>
      </c>
      <c r="D91" s="3">
        <v>13099.851467979772</v>
      </c>
      <c r="E91" s="3">
        <v>7175.1689011265416</v>
      </c>
      <c r="F91" s="3" t="str">
        <f t="shared" si="2"/>
        <v>Discount Applied</v>
      </c>
      <c r="G91" s="3">
        <v>10</v>
      </c>
      <c r="H91" s="3">
        <v>134</v>
      </c>
      <c r="I91" s="3">
        <v>5924.6825668532301</v>
      </c>
      <c r="J91" s="3" t="s">
        <v>32</v>
      </c>
      <c r="K91" s="3">
        <v>90</v>
      </c>
      <c r="L91" s="3">
        <v>1</v>
      </c>
      <c r="M91" s="3">
        <v>27</v>
      </c>
      <c r="N91" s="3">
        <v>8</v>
      </c>
      <c r="O91" s="3" t="s">
        <v>138</v>
      </c>
      <c r="P91" s="3">
        <v>9.9298162452772498</v>
      </c>
      <c r="Q91" s="3" t="s">
        <v>153</v>
      </c>
      <c r="R91" s="3" t="s">
        <v>143</v>
      </c>
      <c r="S91" s="3">
        <v>24</v>
      </c>
      <c r="T91" s="3">
        <v>589</v>
      </c>
      <c r="U91" s="3">
        <v>22</v>
      </c>
      <c r="V91" s="3">
        <v>33.808636513209002</v>
      </c>
      <c r="W91" s="3" t="s">
        <v>47</v>
      </c>
      <c r="X91" s="3">
        <f t="shared" si="3"/>
        <v>649.02318133381743</v>
      </c>
      <c r="Y91" s="3">
        <v>4.8434565771180403E-2</v>
      </c>
      <c r="Z91" s="3">
        <v>4.8434565771180402</v>
      </c>
      <c r="AA91" s="3" t="s">
        <v>33</v>
      </c>
      <c r="AB91" s="3" t="s">
        <v>141</v>
      </c>
      <c r="AC91">
        <v>5.7400061991865876E-2</v>
      </c>
      <c r="AD91">
        <v>32</v>
      </c>
      <c r="AE91">
        <v>2327.2850298184349</v>
      </c>
      <c r="AF91">
        <v>3597.3975370347953</v>
      </c>
      <c r="AG91">
        <v>0.60718823269302624</v>
      </c>
    </row>
    <row r="92" spans="1:33" x14ac:dyDescent="0.35">
      <c r="A92" s="5" t="s">
        <v>28</v>
      </c>
      <c r="B92" s="8" t="s">
        <v>127</v>
      </c>
      <c r="C92" s="3">
        <v>13.881913501359101</v>
      </c>
      <c r="D92" s="3">
        <v>4442.2123204349118</v>
      </c>
      <c r="E92" s="3">
        <v>-5150.4212498453981</v>
      </c>
      <c r="F92" s="3" t="str">
        <f t="shared" si="2"/>
        <v>Premium Markup</v>
      </c>
      <c r="G92" s="3">
        <v>56</v>
      </c>
      <c r="H92" s="3">
        <v>320</v>
      </c>
      <c r="I92" s="3">
        <v>9592.6335702803099</v>
      </c>
      <c r="J92" s="3" t="s">
        <v>25</v>
      </c>
      <c r="K92" s="3">
        <v>66</v>
      </c>
      <c r="L92" s="3">
        <v>18</v>
      </c>
      <c r="M92" s="3">
        <v>96</v>
      </c>
      <c r="N92" s="3">
        <v>7</v>
      </c>
      <c r="O92" s="3" t="s">
        <v>138</v>
      </c>
      <c r="P92" s="3">
        <v>7.6744307081126903</v>
      </c>
      <c r="Q92" s="3" t="s">
        <v>155</v>
      </c>
      <c r="R92" s="3" t="s">
        <v>146</v>
      </c>
      <c r="S92" s="3">
        <v>18</v>
      </c>
      <c r="T92" s="3">
        <v>396</v>
      </c>
      <c r="U92" s="3">
        <v>7</v>
      </c>
      <c r="V92" s="3">
        <v>65.047415094691402</v>
      </c>
      <c r="W92" s="3" t="s">
        <v>35</v>
      </c>
      <c r="X92" s="3">
        <f t="shared" si="3"/>
        <v>553.71991035494079</v>
      </c>
      <c r="Y92" s="3">
        <v>1.7303747198591898E-2</v>
      </c>
      <c r="Z92" s="3">
        <v>1.7303747198591899</v>
      </c>
      <c r="AA92" s="3" t="s">
        <v>27</v>
      </c>
      <c r="AB92" s="3" t="s">
        <v>141</v>
      </c>
      <c r="AC92">
        <v>0.16426114922901869</v>
      </c>
      <c r="AD92">
        <v>25</v>
      </c>
      <c r="AE92">
        <v>551.82167615681999</v>
      </c>
      <c r="AF92">
        <v>9040.8118941234898</v>
      </c>
      <c r="AG92">
        <v>0.94247443393788521</v>
      </c>
    </row>
    <row r="93" spans="1:33" x14ac:dyDescent="0.35">
      <c r="A93" s="5" t="s">
        <v>42</v>
      </c>
      <c r="B93" s="8" t="s">
        <v>128</v>
      </c>
      <c r="C93" s="3">
        <v>62.111965463961702</v>
      </c>
      <c r="D93" s="3">
        <v>56894.560364988916</v>
      </c>
      <c r="E93" s="3">
        <v>54959.353571481326</v>
      </c>
      <c r="F93" s="3" t="str">
        <f t="shared" si="2"/>
        <v>Discount Applied</v>
      </c>
      <c r="G93" s="3">
        <v>90</v>
      </c>
      <c r="H93" s="3">
        <v>916</v>
      </c>
      <c r="I93" s="3">
        <v>1935.20679350759</v>
      </c>
      <c r="J93" s="3" t="s">
        <v>40</v>
      </c>
      <c r="K93" s="3">
        <v>98</v>
      </c>
      <c r="L93" s="3">
        <v>22</v>
      </c>
      <c r="M93" s="3">
        <v>85</v>
      </c>
      <c r="N93" s="3">
        <v>7</v>
      </c>
      <c r="O93" s="3" t="s">
        <v>138</v>
      </c>
      <c r="P93" s="3">
        <v>7.4715140844011403</v>
      </c>
      <c r="Q93" s="3" t="s">
        <v>156</v>
      </c>
      <c r="R93" s="3" t="s">
        <v>145</v>
      </c>
      <c r="S93" s="3">
        <v>30</v>
      </c>
      <c r="T93" s="3">
        <v>791</v>
      </c>
      <c r="U93" s="3">
        <v>6</v>
      </c>
      <c r="V93" s="3">
        <v>9.0058074287816403</v>
      </c>
      <c r="W93" s="3" t="s">
        <v>35</v>
      </c>
      <c r="X93" s="3">
        <f t="shared" si="3"/>
        <v>1330.0065388610778</v>
      </c>
      <c r="Y93" s="3">
        <v>1.4519722039968099E-2</v>
      </c>
      <c r="Z93" s="3">
        <v>1.4519722039968099</v>
      </c>
      <c r="AA93" s="3" t="s">
        <v>33</v>
      </c>
      <c r="AB93" s="3" t="s">
        <v>141</v>
      </c>
      <c r="AC93">
        <v>1.1385344410596259E-2</v>
      </c>
      <c r="AD93">
        <v>37</v>
      </c>
      <c r="AE93">
        <v>3268.3649727601646</v>
      </c>
      <c r="AF93">
        <v>-1333.1581792525747</v>
      </c>
      <c r="AG93">
        <v>-0.68889701282838434</v>
      </c>
    </row>
    <row r="94" spans="1:33" x14ac:dyDescent="0.35">
      <c r="A94" s="5" t="s">
        <v>42</v>
      </c>
      <c r="B94" s="8" t="s">
        <v>129</v>
      </c>
      <c r="C94" s="3">
        <v>47.714233075820196</v>
      </c>
      <c r="D94" s="3">
        <v>13169.128328926374</v>
      </c>
      <c r="E94" s="3">
        <v>11068.998574300444</v>
      </c>
      <c r="F94" s="3" t="str">
        <f t="shared" si="2"/>
        <v>Discount Applied</v>
      </c>
      <c r="G94" s="3">
        <v>44</v>
      </c>
      <c r="H94" s="3">
        <v>276</v>
      </c>
      <c r="I94" s="3">
        <v>2100.1297546259302</v>
      </c>
      <c r="J94" s="3" t="s">
        <v>40</v>
      </c>
      <c r="K94" s="3">
        <v>90</v>
      </c>
      <c r="L94" s="3">
        <v>25</v>
      </c>
      <c r="M94" s="3">
        <v>10</v>
      </c>
      <c r="N94" s="3">
        <v>8</v>
      </c>
      <c r="O94" s="3" t="s">
        <v>138</v>
      </c>
      <c r="P94" s="3">
        <v>4.4695000261236002</v>
      </c>
      <c r="Q94" s="3" t="s">
        <v>154</v>
      </c>
      <c r="R94" s="3" t="s">
        <v>146</v>
      </c>
      <c r="S94" s="3">
        <v>5</v>
      </c>
      <c r="T94" s="3">
        <v>207</v>
      </c>
      <c r="U94" s="3">
        <v>28</v>
      </c>
      <c r="V94" s="3">
        <v>39.772882502339897</v>
      </c>
      <c r="W94" s="3" t="s">
        <v>26</v>
      </c>
      <c r="X94" s="3">
        <f t="shared" si="3"/>
        <v>172.77651286579274</v>
      </c>
      <c r="Y94" s="3">
        <v>6.2600185820939399E-3</v>
      </c>
      <c r="Z94" s="3">
        <v>0.62600185820939402</v>
      </c>
      <c r="AA94" s="3" t="s">
        <v>36</v>
      </c>
      <c r="AB94" s="3" t="s">
        <v>141</v>
      </c>
      <c r="AC94">
        <v>0.19213952899681111</v>
      </c>
      <c r="AD94">
        <v>13</v>
      </c>
      <c r="AE94">
        <v>4983.8915747531146</v>
      </c>
      <c r="AF94">
        <v>-2883.7618201271844</v>
      </c>
      <c r="AG94">
        <v>-1.3731350711903192</v>
      </c>
    </row>
    <row r="95" spans="1:33" x14ac:dyDescent="0.35">
      <c r="A95" s="5" t="s">
        <v>23</v>
      </c>
      <c r="B95" s="8" t="s">
        <v>130</v>
      </c>
      <c r="C95" s="3">
        <v>69.290831002905406</v>
      </c>
      <c r="D95" s="3">
        <v>7899.1547343312159</v>
      </c>
      <c r="E95" s="3">
        <v>3367.7526006393155</v>
      </c>
      <c r="F95" s="3" t="str">
        <f t="shared" si="2"/>
        <v>Discount Applied</v>
      </c>
      <c r="G95" s="3">
        <v>88</v>
      </c>
      <c r="H95" s="3">
        <v>114</v>
      </c>
      <c r="I95" s="3">
        <v>4531.4021336919004</v>
      </c>
      <c r="J95" s="3" t="s">
        <v>32</v>
      </c>
      <c r="K95" s="3">
        <v>63</v>
      </c>
      <c r="L95" s="3">
        <v>17</v>
      </c>
      <c r="M95" s="3">
        <v>66</v>
      </c>
      <c r="N95" s="3">
        <v>1</v>
      </c>
      <c r="O95" s="3" t="s">
        <v>139</v>
      </c>
      <c r="P95" s="3">
        <v>7.00643205900439</v>
      </c>
      <c r="Q95" s="3" t="s">
        <v>156</v>
      </c>
      <c r="R95" s="3" t="s">
        <v>143</v>
      </c>
      <c r="S95" s="3">
        <v>25</v>
      </c>
      <c r="T95" s="3">
        <v>759</v>
      </c>
      <c r="U95" s="3">
        <v>11</v>
      </c>
      <c r="V95" s="3">
        <v>48.064782640006499</v>
      </c>
      <c r="W95" s="3" t="s">
        <v>47</v>
      </c>
      <c r="X95" s="3">
        <f t="shared" si="3"/>
        <v>231.42787610823748</v>
      </c>
      <c r="Y95" s="3">
        <v>2.0300690886687497E-2</v>
      </c>
      <c r="Z95" s="3">
        <v>2.0300690886687498</v>
      </c>
      <c r="AA95" s="3" t="s">
        <v>33</v>
      </c>
      <c r="AB95" s="3" t="s">
        <v>142</v>
      </c>
      <c r="AC95">
        <v>6.3326459341247032E-2</v>
      </c>
      <c r="AD95">
        <v>26</v>
      </c>
      <c r="AE95">
        <v>4365.6482400882551</v>
      </c>
      <c r="AF95">
        <v>165.75389360364534</v>
      </c>
      <c r="AG95">
        <v>3.6578941509346805E-2</v>
      </c>
    </row>
    <row r="96" spans="1:33" x14ac:dyDescent="0.35">
      <c r="A96" s="5" t="s">
        <v>42</v>
      </c>
      <c r="B96" s="8" t="s">
        <v>131</v>
      </c>
      <c r="C96" s="3">
        <v>3.0376887246314102</v>
      </c>
      <c r="D96" s="3">
        <v>2998.1987712112018</v>
      </c>
      <c r="E96" s="3">
        <v>-4890.1577754506689</v>
      </c>
      <c r="F96" s="3" t="str">
        <f t="shared" si="2"/>
        <v>Premium Markup</v>
      </c>
      <c r="G96" s="3">
        <v>97</v>
      </c>
      <c r="H96" s="3">
        <v>987</v>
      </c>
      <c r="I96" s="3">
        <v>7888.3565466618702</v>
      </c>
      <c r="J96" s="3" t="s">
        <v>32</v>
      </c>
      <c r="K96" s="3">
        <v>77</v>
      </c>
      <c r="L96" s="3">
        <v>26</v>
      </c>
      <c r="M96" s="3">
        <v>72</v>
      </c>
      <c r="N96" s="3">
        <v>9</v>
      </c>
      <c r="O96" s="3" t="s">
        <v>138</v>
      </c>
      <c r="P96" s="3">
        <v>6.9429459420325799</v>
      </c>
      <c r="Q96" s="3" t="s">
        <v>154</v>
      </c>
      <c r="R96" s="3" t="s">
        <v>147</v>
      </c>
      <c r="S96" s="3">
        <v>26</v>
      </c>
      <c r="T96" s="3">
        <v>179</v>
      </c>
      <c r="U96" s="3">
        <v>7</v>
      </c>
      <c r="V96" s="3">
        <v>96.422820639571796</v>
      </c>
      <c r="W96" s="3" t="s">
        <v>35</v>
      </c>
      <c r="X96" s="3">
        <f t="shared" si="3"/>
        <v>4875.0449698688672</v>
      </c>
      <c r="Y96" s="3">
        <v>4.9392552886209397E-2</v>
      </c>
      <c r="Z96" s="3">
        <v>4.9392552886209398</v>
      </c>
      <c r="AA96" s="3" t="s">
        <v>27</v>
      </c>
      <c r="AB96" s="3" t="s">
        <v>140</v>
      </c>
      <c r="AC96">
        <v>0.53867497564006595</v>
      </c>
      <c r="AD96">
        <v>35</v>
      </c>
      <c r="AE96">
        <v>3178.285602509955</v>
      </c>
      <c r="AF96">
        <v>4710.0709441519157</v>
      </c>
      <c r="AG96">
        <v>0.5970915381791515</v>
      </c>
    </row>
    <row r="97" spans="1:33" x14ac:dyDescent="0.35">
      <c r="A97" s="5" t="s">
        <v>23</v>
      </c>
      <c r="B97" s="8" t="s">
        <v>132</v>
      </c>
      <c r="C97" s="3">
        <v>77.903927219447695</v>
      </c>
      <c r="D97" s="3">
        <v>52351.439091468848</v>
      </c>
      <c r="E97" s="3">
        <v>44965.07514742019</v>
      </c>
      <c r="F97" s="3" t="str">
        <f t="shared" si="2"/>
        <v>Discount Applied</v>
      </c>
      <c r="G97" s="3">
        <v>65</v>
      </c>
      <c r="H97" s="3">
        <v>672</v>
      </c>
      <c r="I97" s="3">
        <v>7386.3639440486604</v>
      </c>
      <c r="J97" s="3" t="s">
        <v>32</v>
      </c>
      <c r="K97" s="3">
        <v>15</v>
      </c>
      <c r="L97" s="3">
        <v>14</v>
      </c>
      <c r="M97" s="3">
        <v>26</v>
      </c>
      <c r="N97" s="3">
        <v>9</v>
      </c>
      <c r="O97" s="3" t="s">
        <v>138</v>
      </c>
      <c r="P97" s="3">
        <v>8.6303388696027508</v>
      </c>
      <c r="Q97" s="3" t="s">
        <v>156</v>
      </c>
      <c r="R97" s="3" t="s">
        <v>145</v>
      </c>
      <c r="S97" s="3">
        <v>9</v>
      </c>
      <c r="T97" s="3">
        <v>862</v>
      </c>
      <c r="U97" s="3">
        <v>7</v>
      </c>
      <c r="V97" s="3">
        <v>77.627765812748095</v>
      </c>
      <c r="W97" s="3" t="s">
        <v>26</v>
      </c>
      <c r="X97" s="3">
        <f t="shared" si="3"/>
        <v>915.52472837219511</v>
      </c>
      <c r="Y97" s="3">
        <v>1.3623879886490999E-2</v>
      </c>
      <c r="Z97" s="3">
        <v>1.3623879886490999</v>
      </c>
      <c r="AA97" s="3" t="s">
        <v>33</v>
      </c>
      <c r="AB97" s="3" t="s">
        <v>140</v>
      </c>
      <c r="AC97">
        <v>9.0055412775809848E-2</v>
      </c>
      <c r="AD97">
        <v>18</v>
      </c>
      <c r="AE97">
        <v>1038.316031042875</v>
      </c>
      <c r="AF97">
        <v>6348.0479130057856</v>
      </c>
      <c r="AG97">
        <v>0.85942798934522224</v>
      </c>
    </row>
    <row r="98" spans="1:33" x14ac:dyDescent="0.35">
      <c r="A98" s="5" t="s">
        <v>42</v>
      </c>
      <c r="B98" s="8" t="s">
        <v>133</v>
      </c>
      <c r="C98" s="3">
        <v>24.423131420373299</v>
      </c>
      <c r="D98" s="3">
        <v>7913.0945802009492</v>
      </c>
      <c r="E98" s="3">
        <v>214.66981456883877</v>
      </c>
      <c r="F98" s="3" t="str">
        <f t="shared" si="2"/>
        <v>Discount Applied</v>
      </c>
      <c r="G98" s="3">
        <v>29</v>
      </c>
      <c r="H98" s="3">
        <v>324</v>
      </c>
      <c r="I98" s="3">
        <v>7698.4247656321104</v>
      </c>
      <c r="J98" s="3" t="s">
        <v>25</v>
      </c>
      <c r="K98" s="3">
        <v>67</v>
      </c>
      <c r="L98" s="3">
        <v>2</v>
      </c>
      <c r="M98" s="3">
        <v>32</v>
      </c>
      <c r="N98" s="3">
        <v>3</v>
      </c>
      <c r="O98" s="3" t="s">
        <v>139</v>
      </c>
      <c r="P98" s="3">
        <v>5.3528780439967996</v>
      </c>
      <c r="Q98" s="3" t="s">
        <v>155</v>
      </c>
      <c r="R98" s="3" t="s">
        <v>146</v>
      </c>
      <c r="S98" s="3">
        <v>21</v>
      </c>
      <c r="T98" s="3">
        <v>588</v>
      </c>
      <c r="U98" s="3">
        <v>25</v>
      </c>
      <c r="V98" s="3">
        <v>67.779622987078099</v>
      </c>
      <c r="W98" s="3" t="s">
        <v>26</v>
      </c>
      <c r="X98" s="3">
        <f t="shared" si="3"/>
        <v>813.62064498891482</v>
      </c>
      <c r="Y98" s="3">
        <v>2.5111748302127E-2</v>
      </c>
      <c r="Z98" s="3">
        <v>2.5111748302126999</v>
      </c>
      <c r="AA98" s="3" t="s">
        <v>36</v>
      </c>
      <c r="AB98" s="3" t="s">
        <v>140</v>
      </c>
      <c r="AC98">
        <v>0.11527146766509881</v>
      </c>
      <c r="AD98">
        <v>24</v>
      </c>
      <c r="AE98">
        <v>2410.9561930126401</v>
      </c>
      <c r="AF98">
        <v>5287.4685726194703</v>
      </c>
      <c r="AG98">
        <v>0.68682473799369803</v>
      </c>
    </row>
    <row r="99" spans="1:33" x14ac:dyDescent="0.35">
      <c r="A99" s="5" t="s">
        <v>23</v>
      </c>
      <c r="B99" s="8" t="s">
        <v>134</v>
      </c>
      <c r="C99" s="3">
        <v>3.5261112591434101</v>
      </c>
      <c r="D99" s="3">
        <v>218.61889806689143</v>
      </c>
      <c r="E99" s="3">
        <v>-4152.2976819176383</v>
      </c>
      <c r="F99" s="3" t="str">
        <f t="shared" si="2"/>
        <v>Premium Markup</v>
      </c>
      <c r="G99" s="3">
        <v>56</v>
      </c>
      <c r="H99" s="3">
        <v>62</v>
      </c>
      <c r="I99" s="3">
        <v>4370.9165799845296</v>
      </c>
      <c r="J99" s="3" t="s">
        <v>40</v>
      </c>
      <c r="K99" s="3">
        <v>46</v>
      </c>
      <c r="L99" s="3">
        <v>19</v>
      </c>
      <c r="M99" s="3">
        <v>4</v>
      </c>
      <c r="N99" s="3">
        <v>9</v>
      </c>
      <c r="O99" s="3" t="s">
        <v>137</v>
      </c>
      <c r="P99" s="3">
        <v>7.9048456112096703</v>
      </c>
      <c r="Q99" s="3" t="s">
        <v>156</v>
      </c>
      <c r="R99" s="3" t="s">
        <v>144</v>
      </c>
      <c r="S99" s="3">
        <v>25</v>
      </c>
      <c r="T99" s="3">
        <v>858</v>
      </c>
      <c r="U99" s="3">
        <v>21</v>
      </c>
      <c r="V99" s="3">
        <v>71.126514720403307</v>
      </c>
      <c r="W99" s="3" t="s">
        <v>26</v>
      </c>
      <c r="X99" s="3">
        <f t="shared" si="3"/>
        <v>254.00664261316791</v>
      </c>
      <c r="Y99" s="3">
        <v>4.0968813324704499E-2</v>
      </c>
      <c r="Z99" s="3">
        <v>4.0968813324704501</v>
      </c>
      <c r="AA99" s="3" t="s">
        <v>41</v>
      </c>
      <c r="AB99" s="3" t="s">
        <v>142</v>
      </c>
      <c r="AC99">
        <v>8.2898035804665857E-2</v>
      </c>
      <c r="AD99">
        <v>34</v>
      </c>
      <c r="AE99">
        <v>1617.9610171566101</v>
      </c>
      <c r="AF99">
        <v>2752.9555628279195</v>
      </c>
      <c r="AG99">
        <v>0.62983484412270874</v>
      </c>
    </row>
    <row r="100" spans="1:33" x14ac:dyDescent="0.35">
      <c r="A100" s="5" t="s">
        <v>28</v>
      </c>
      <c r="B100" s="8" t="s">
        <v>135</v>
      </c>
      <c r="C100" s="3">
        <v>19.754604866878601</v>
      </c>
      <c r="D100" s="3">
        <v>18035.954243460164</v>
      </c>
      <c r="E100" s="3">
        <v>9510.0016837766452</v>
      </c>
      <c r="F100" s="3" t="str">
        <f t="shared" si="2"/>
        <v>Discount Applied</v>
      </c>
      <c r="G100" s="3">
        <v>43</v>
      </c>
      <c r="H100" s="3">
        <v>913</v>
      </c>
      <c r="I100" s="3">
        <v>8525.9525596835192</v>
      </c>
      <c r="J100" s="3" t="s">
        <v>30</v>
      </c>
      <c r="K100" s="3">
        <v>53</v>
      </c>
      <c r="L100" s="3">
        <v>1</v>
      </c>
      <c r="M100" s="3">
        <v>27</v>
      </c>
      <c r="N100" s="3">
        <v>7</v>
      </c>
      <c r="O100" s="3" t="s">
        <v>138</v>
      </c>
      <c r="P100" s="3">
        <v>1.4098010951380699</v>
      </c>
      <c r="Q100" s="3" t="s">
        <v>157</v>
      </c>
      <c r="R100" s="3" t="s">
        <v>144</v>
      </c>
      <c r="S100" s="3">
        <v>4</v>
      </c>
      <c r="T100" s="3">
        <v>569</v>
      </c>
      <c r="U100" s="3">
        <v>18</v>
      </c>
      <c r="V100" s="3">
        <v>74.608969995194599</v>
      </c>
      <c r="W100" s="3" t="s">
        <v>47</v>
      </c>
      <c r="X100" s="3">
        <f t="shared" si="3"/>
        <v>1873.0313057895769</v>
      </c>
      <c r="Y100" s="3">
        <v>2.0515129307662399E-2</v>
      </c>
      <c r="Z100" s="3">
        <v>2.0515129307662399</v>
      </c>
      <c r="AA100" s="3" t="s">
        <v>36</v>
      </c>
      <c r="AB100" s="3" t="s">
        <v>140</v>
      </c>
      <c r="AC100">
        <v>0.13112297011457749</v>
      </c>
      <c r="AD100">
        <v>11</v>
      </c>
      <c r="AE100">
        <v>1321.2744491793298</v>
      </c>
      <c r="AF100">
        <v>7204.6781105041891</v>
      </c>
      <c r="AG100">
        <v>0.84502911083188392</v>
      </c>
    </row>
    <row r="101" spans="1:33" x14ac:dyDescent="0.35">
      <c r="A101" s="5" t="s">
        <v>23</v>
      </c>
      <c r="B101" s="8" t="s">
        <v>136</v>
      </c>
      <c r="C101" s="3">
        <v>68.517832699276596</v>
      </c>
      <c r="D101" s="3">
        <v>42960.681102446426</v>
      </c>
      <c r="E101" s="3">
        <v>33775.495273264722</v>
      </c>
      <c r="F101" s="3" t="str">
        <f t="shared" si="2"/>
        <v>Discount Applied</v>
      </c>
      <c r="G101" s="3">
        <v>17</v>
      </c>
      <c r="H101" s="3">
        <v>627</v>
      </c>
      <c r="I101" s="3">
        <v>9185.1858291817007</v>
      </c>
      <c r="J101" s="3" t="s">
        <v>32</v>
      </c>
      <c r="K101" s="3">
        <v>55</v>
      </c>
      <c r="L101" s="3">
        <v>8</v>
      </c>
      <c r="M101" s="3">
        <v>59</v>
      </c>
      <c r="N101" s="3">
        <v>6</v>
      </c>
      <c r="O101" s="3" t="s">
        <v>138</v>
      </c>
      <c r="P101" s="3">
        <v>1.3110237561206199</v>
      </c>
      <c r="Q101" s="3" t="s">
        <v>154</v>
      </c>
      <c r="R101" s="3" t="s">
        <v>145</v>
      </c>
      <c r="S101" s="3">
        <v>11</v>
      </c>
      <c r="T101" s="3">
        <v>176</v>
      </c>
      <c r="U101" s="3">
        <v>4</v>
      </c>
      <c r="V101" s="3">
        <v>1.90076224351945</v>
      </c>
      <c r="W101" s="3" t="s">
        <v>35</v>
      </c>
      <c r="X101" s="3">
        <f t="shared" si="3"/>
        <v>280.39064769581699</v>
      </c>
      <c r="Y101" s="3">
        <v>4.4719401546382299E-3</v>
      </c>
      <c r="Z101" s="3">
        <v>0.44719401546382298</v>
      </c>
      <c r="AA101" s="3" t="s">
        <v>33</v>
      </c>
      <c r="AB101" s="3" t="s">
        <v>140</v>
      </c>
      <c r="AC101">
        <v>1.079978547454233E-2</v>
      </c>
      <c r="AD101">
        <v>17</v>
      </c>
      <c r="AE101">
        <v>1562.8713680504648</v>
      </c>
      <c r="AF101">
        <v>7622.3144611312364</v>
      </c>
      <c r="AG101">
        <v>0.82984869363392089</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H4"/>
  <sheetViews>
    <sheetView workbookViewId="0">
      <selection activeCell="D13" sqref="D13"/>
    </sheetView>
  </sheetViews>
  <sheetFormatPr defaultRowHeight="14.5" x14ac:dyDescent="0.35"/>
  <cols>
    <col min="2" max="2" width="16.453125" customWidth="1"/>
    <col min="3" max="3" width="18.26953125" customWidth="1"/>
    <col min="4" max="4" width="14" customWidth="1"/>
    <col min="6" max="6" width="13.7265625" customWidth="1"/>
  </cols>
  <sheetData>
    <row r="3" spans="2:8" s="1" customFormat="1" x14ac:dyDescent="0.35">
      <c r="B3" s="1" t="s">
        <v>164</v>
      </c>
      <c r="C3" s="1" t="s">
        <v>166</v>
      </c>
      <c r="D3" s="1" t="s">
        <v>167</v>
      </c>
      <c r="E3" s="1" t="s">
        <v>165</v>
      </c>
      <c r="F3" s="1" t="s">
        <v>168</v>
      </c>
      <c r="G3" s="1" t="s">
        <v>170</v>
      </c>
      <c r="H3" s="1" t="s">
        <v>171</v>
      </c>
    </row>
    <row r="4" spans="2:8" x14ac:dyDescent="0.35">
      <c r="B4" s="14">
        <f>SUM(supplychain_dataset!F:F)</f>
        <v>599337.6810675757</v>
      </c>
      <c r="C4" s="15">
        <f>SUM(supply_chain_clean_dataset!AF:AF)</f>
        <v>312981.92765893816</v>
      </c>
      <c r="D4" s="13">
        <f>AVERAGE(supply_chain_clean_dataset!AG:AG)</f>
        <v>0.30002950865390327</v>
      </c>
      <c r="E4">
        <f>SUM(supplychain_dataset!E:E)</f>
        <v>47272</v>
      </c>
      <c r="F4" s="16">
        <f>AVERAGE(supplychain_dataset!W:W)</f>
        <v>2.2924733925170537</v>
      </c>
      <c r="G4">
        <f>SUM(supplychain_dataset!U:U)</f>
        <v>105404.62528959704</v>
      </c>
      <c r="H4" s="17">
        <f>F4/100</f>
        <v>2.2924733925170537E-2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K53"/>
  <sheetViews>
    <sheetView showGridLines="0" showRowColHeaders="0" topLeftCell="I1" zoomScale="46" zoomScaleNormal="62" workbookViewId="0">
      <selection activeCell="AC38" sqref="AC38"/>
    </sheetView>
  </sheetViews>
  <sheetFormatPr defaultRowHeight="14.5" x14ac:dyDescent="0.35"/>
  <cols>
    <col min="1" max="1" width="8.7265625" style="27"/>
    <col min="2" max="2" width="23.6328125" style="27" customWidth="1"/>
    <col min="3" max="28" width="8.7265625" style="27"/>
    <col min="29" max="29" width="24.81640625" style="27" bestFit="1" customWidth="1"/>
    <col min="30" max="30" width="26.54296875" style="27" bestFit="1" customWidth="1"/>
    <col min="31" max="33" width="8.7265625" style="27"/>
    <col min="34" max="34" width="19.08984375" style="27" customWidth="1"/>
    <col min="35" max="35" width="24.81640625" style="27" customWidth="1"/>
    <col min="36" max="36" width="23.6328125" style="27" customWidth="1"/>
    <col min="37" max="16384" width="8.7265625" style="27"/>
  </cols>
  <sheetData>
    <row r="2" spans="2:37" x14ac:dyDescent="0.35">
      <c r="AI2" s="10" t="s">
        <v>158</v>
      </c>
      <c r="AJ2" t="s">
        <v>178</v>
      </c>
      <c r="AK2"/>
    </row>
    <row r="3" spans="2:37" x14ac:dyDescent="0.35">
      <c r="AI3" s="11" t="s">
        <v>153</v>
      </c>
      <c r="AJ3" s="28">
        <v>0.26803917014342316</v>
      </c>
      <c r="AK3"/>
    </row>
    <row r="4" spans="2:37" x14ac:dyDescent="0.35">
      <c r="AI4" s="11" t="s">
        <v>154</v>
      </c>
      <c r="AJ4" s="28">
        <v>0.20454236831076189</v>
      </c>
      <c r="AK4"/>
    </row>
    <row r="5" spans="2:37" x14ac:dyDescent="0.35">
      <c r="AI5" s="11" t="s">
        <v>157</v>
      </c>
      <c r="AJ5" s="28">
        <v>0.18553287184999248</v>
      </c>
      <c r="AK5"/>
    </row>
    <row r="6" spans="2:37" x14ac:dyDescent="0.35">
      <c r="AI6" s="11" t="s">
        <v>156</v>
      </c>
      <c r="AJ6" s="28">
        <v>0.18035994630022445</v>
      </c>
      <c r="AK6"/>
    </row>
    <row r="7" spans="2:37" x14ac:dyDescent="0.35">
      <c r="AI7" s="11" t="s">
        <v>155</v>
      </c>
      <c r="AJ7" s="28">
        <v>0.16152564339559805</v>
      </c>
      <c r="AK7"/>
    </row>
    <row r="8" spans="2:37" x14ac:dyDescent="0.35">
      <c r="AI8" s="11" t="s">
        <v>159</v>
      </c>
      <c r="AJ8" s="28">
        <v>1</v>
      </c>
      <c r="AK8"/>
    </row>
    <row r="9" spans="2:37" x14ac:dyDescent="0.35">
      <c r="AI9"/>
      <c r="AJ9"/>
      <c r="AK9"/>
    </row>
    <row r="10" spans="2:37" x14ac:dyDescent="0.35">
      <c r="AI10"/>
      <c r="AJ10"/>
      <c r="AK10"/>
    </row>
    <row r="11" spans="2:37" x14ac:dyDescent="0.35">
      <c r="AI11"/>
      <c r="AJ11"/>
      <c r="AK11"/>
    </row>
    <row r="12" spans="2:37" x14ac:dyDescent="0.35">
      <c r="AI12"/>
      <c r="AJ12"/>
      <c r="AK12"/>
    </row>
    <row r="13" spans="2:37" x14ac:dyDescent="0.35">
      <c r="AI13"/>
      <c r="AJ13"/>
      <c r="AK13"/>
    </row>
    <row r="14" spans="2:37" x14ac:dyDescent="0.35">
      <c r="B14" t="s">
        <v>178</v>
      </c>
      <c r="C14"/>
      <c r="D14"/>
      <c r="AI14"/>
      <c r="AJ14"/>
      <c r="AK14"/>
    </row>
    <row r="15" spans="2:37" x14ac:dyDescent="0.35">
      <c r="B15" s="9">
        <v>227.71579927396067</v>
      </c>
      <c r="C15"/>
      <c r="D15"/>
      <c r="AI15"/>
      <c r="AJ15"/>
      <c r="AK15"/>
    </row>
    <row r="16" spans="2:37" x14ac:dyDescent="0.35">
      <c r="B16"/>
      <c r="C16"/>
      <c r="D16"/>
      <c r="AI16"/>
      <c r="AJ16"/>
      <c r="AK16"/>
    </row>
    <row r="17" spans="2:37" x14ac:dyDescent="0.35">
      <c r="B17"/>
      <c r="C17"/>
      <c r="D17"/>
      <c r="AI17"/>
      <c r="AJ17"/>
      <c r="AK17"/>
    </row>
    <row r="18" spans="2:37" x14ac:dyDescent="0.35">
      <c r="B18"/>
      <c r="C18"/>
      <c r="D18"/>
      <c r="AI18"/>
      <c r="AJ18"/>
      <c r="AK18"/>
    </row>
    <row r="19" spans="2:37" x14ac:dyDescent="0.35">
      <c r="B19"/>
      <c r="C19"/>
      <c r="D19"/>
      <c r="AI19"/>
      <c r="AJ19"/>
      <c r="AK19"/>
    </row>
    <row r="20" spans="2:37" x14ac:dyDescent="0.35">
      <c r="B20"/>
      <c r="C20"/>
      <c r="D20"/>
    </row>
    <row r="21" spans="2:37" x14ac:dyDescent="0.35">
      <c r="B21"/>
      <c r="C21"/>
      <c r="D21"/>
    </row>
    <row r="22" spans="2:37" x14ac:dyDescent="0.35">
      <c r="B22"/>
      <c r="C22"/>
      <c r="D22"/>
    </row>
    <row r="23" spans="2:37" x14ac:dyDescent="0.35">
      <c r="B23"/>
      <c r="C23"/>
      <c r="D23"/>
    </row>
    <row r="24" spans="2:37" x14ac:dyDescent="0.35">
      <c r="B24"/>
      <c r="C24"/>
      <c r="D24"/>
    </row>
    <row r="25" spans="2:37" x14ac:dyDescent="0.35">
      <c r="B25"/>
      <c r="C25"/>
      <c r="D25"/>
      <c r="AH25" s="10" t="s">
        <v>158</v>
      </c>
      <c r="AI25" t="s">
        <v>179</v>
      </c>
      <c r="AJ25"/>
    </row>
    <row r="26" spans="2:37" x14ac:dyDescent="0.35">
      <c r="B26"/>
      <c r="C26"/>
      <c r="D26"/>
      <c r="AH26" s="11" t="s">
        <v>27</v>
      </c>
      <c r="AI26" s="9">
        <v>0.76007215650384374</v>
      </c>
      <c r="AJ26"/>
    </row>
    <row r="27" spans="2:37" x14ac:dyDescent="0.35">
      <c r="B27"/>
      <c r="C27"/>
      <c r="D27"/>
      <c r="AH27" s="11" t="s">
        <v>36</v>
      </c>
      <c r="AI27" s="9">
        <v>0.64926789438414834</v>
      </c>
      <c r="AJ27"/>
    </row>
    <row r="28" spans="2:37" x14ac:dyDescent="0.35">
      <c r="B28"/>
      <c r="C28"/>
      <c r="D28"/>
      <c r="AH28" s="11" t="s">
        <v>33</v>
      </c>
      <c r="AI28" s="9">
        <v>0.47422012188545604</v>
      </c>
      <c r="AJ28"/>
    </row>
    <row r="29" spans="2:37" x14ac:dyDescent="0.35">
      <c r="B29"/>
      <c r="C29"/>
      <c r="D29"/>
      <c r="AH29" s="11" t="s">
        <v>41</v>
      </c>
      <c r="AI29" s="9">
        <v>0.39359781996615806</v>
      </c>
      <c r="AJ29"/>
    </row>
    <row r="30" spans="2:37" x14ac:dyDescent="0.35">
      <c r="B30"/>
      <c r="C30"/>
      <c r="D30"/>
      <c r="AH30" s="11" t="s">
        <v>159</v>
      </c>
      <c r="AI30" s="9">
        <v>2.277157992739606</v>
      </c>
      <c r="AJ30"/>
    </row>
    <row r="31" spans="2:37" x14ac:dyDescent="0.35">
      <c r="B31"/>
      <c r="C31"/>
      <c r="D31"/>
      <c r="AH31"/>
      <c r="AI31"/>
      <c r="AJ31"/>
    </row>
    <row r="32" spans="2:37" x14ac:dyDescent="0.35">
      <c r="AH32"/>
      <c r="AI32"/>
      <c r="AJ32"/>
    </row>
    <row r="33" spans="29:36" x14ac:dyDescent="0.35">
      <c r="AH33"/>
      <c r="AI33"/>
      <c r="AJ33"/>
    </row>
    <row r="34" spans="29:36" x14ac:dyDescent="0.35">
      <c r="AH34"/>
      <c r="AI34"/>
      <c r="AJ34"/>
    </row>
    <row r="35" spans="29:36" x14ac:dyDescent="0.35">
      <c r="AH35"/>
      <c r="AI35"/>
      <c r="AJ35"/>
    </row>
    <row r="36" spans="29:36" x14ac:dyDescent="0.35">
      <c r="AC36" s="10" t="s">
        <v>158</v>
      </c>
      <c r="AD36" t="s">
        <v>180</v>
      </c>
      <c r="AE36"/>
      <c r="AH36"/>
      <c r="AI36"/>
      <c r="AJ36"/>
    </row>
    <row r="37" spans="29:36" x14ac:dyDescent="0.35">
      <c r="AC37" s="11" t="s">
        <v>156</v>
      </c>
      <c r="AD37" s="9">
        <v>17</v>
      </c>
      <c r="AE37"/>
      <c r="AH37"/>
      <c r="AI37"/>
      <c r="AJ37"/>
    </row>
    <row r="38" spans="29:36" x14ac:dyDescent="0.35">
      <c r="AC38" s="11" t="s">
        <v>153</v>
      </c>
      <c r="AD38" s="9">
        <v>16.777777777777779</v>
      </c>
      <c r="AE38"/>
      <c r="AH38"/>
      <c r="AI38"/>
      <c r="AJ38"/>
    </row>
    <row r="39" spans="29:36" x14ac:dyDescent="0.35">
      <c r="AC39" s="11" t="s">
        <v>154</v>
      </c>
      <c r="AD39" s="9">
        <v>16.227272727272727</v>
      </c>
      <c r="AE39"/>
      <c r="AH39"/>
      <c r="AI39"/>
      <c r="AJ39"/>
    </row>
    <row r="40" spans="29:36" x14ac:dyDescent="0.35">
      <c r="AC40" s="11" t="s">
        <v>157</v>
      </c>
      <c r="AD40" s="9">
        <v>14.722222222222221</v>
      </c>
      <c r="AE40"/>
      <c r="AH40"/>
      <c r="AI40"/>
      <c r="AJ40"/>
    </row>
    <row r="41" spans="29:36" x14ac:dyDescent="0.35">
      <c r="AC41" s="11" t="s">
        <v>155</v>
      </c>
      <c r="AD41" s="9">
        <v>14.333333333333334</v>
      </c>
      <c r="AE41"/>
      <c r="AH41"/>
      <c r="AI41"/>
      <c r="AJ41"/>
    </row>
    <row r="42" spans="29:36" x14ac:dyDescent="0.35">
      <c r="AC42" s="11" t="s">
        <v>159</v>
      </c>
      <c r="AD42" s="9">
        <v>15.96</v>
      </c>
      <c r="AE42"/>
      <c r="AH42"/>
      <c r="AI42"/>
      <c r="AJ42"/>
    </row>
    <row r="43" spans="29:36" x14ac:dyDescent="0.35">
      <c r="AC43"/>
      <c r="AD43"/>
      <c r="AE43"/>
    </row>
    <row r="44" spans="29:36" x14ac:dyDescent="0.35">
      <c r="AC44"/>
      <c r="AD44"/>
      <c r="AE44"/>
    </row>
    <row r="45" spans="29:36" x14ac:dyDescent="0.35">
      <c r="AC45"/>
      <c r="AD45"/>
      <c r="AE45"/>
    </row>
    <row r="46" spans="29:36" x14ac:dyDescent="0.35">
      <c r="AC46"/>
      <c r="AD46"/>
      <c r="AE46"/>
    </row>
    <row r="47" spans="29:36" x14ac:dyDescent="0.35">
      <c r="AC47"/>
      <c r="AD47"/>
      <c r="AE47"/>
    </row>
    <row r="48" spans="29:36" x14ac:dyDescent="0.35">
      <c r="AC48"/>
      <c r="AD48"/>
      <c r="AE48"/>
    </row>
    <row r="49" spans="29:31" x14ac:dyDescent="0.35">
      <c r="AC49"/>
      <c r="AD49"/>
      <c r="AE49"/>
    </row>
    <row r="50" spans="29:31" x14ac:dyDescent="0.35">
      <c r="AC50"/>
      <c r="AD50"/>
      <c r="AE50"/>
    </row>
    <row r="51" spans="29:31" x14ac:dyDescent="0.35">
      <c r="AC51"/>
      <c r="AD51"/>
      <c r="AE51"/>
    </row>
    <row r="52" spans="29:31" x14ac:dyDescent="0.35">
      <c r="AC52"/>
      <c r="AD52"/>
      <c r="AE52"/>
    </row>
    <row r="53" spans="29:31" x14ac:dyDescent="0.35">
      <c r="AC53"/>
      <c r="AD53"/>
      <c r="AE53"/>
    </row>
  </sheetData>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8"/>
  <sheetViews>
    <sheetView topLeftCell="A2" workbookViewId="0">
      <selection activeCell="B16" sqref="B16"/>
    </sheetView>
  </sheetViews>
  <sheetFormatPr defaultRowHeight="14.5" x14ac:dyDescent="0.35"/>
  <cols>
    <col min="1" max="1" width="20.81640625" customWidth="1"/>
    <col min="2" max="2" width="20.453125" customWidth="1"/>
  </cols>
  <sheetData>
    <row r="2" spans="1:2" x14ac:dyDescent="0.35">
      <c r="A2" s="10" t="s">
        <v>158</v>
      </c>
      <c r="B2" t="s">
        <v>176</v>
      </c>
    </row>
    <row r="3" spans="1:2" x14ac:dyDescent="0.35">
      <c r="A3" s="11" t="s">
        <v>144</v>
      </c>
      <c r="B3" s="9">
        <v>0.57039569727562889</v>
      </c>
    </row>
    <row r="4" spans="1:2" x14ac:dyDescent="0.35">
      <c r="A4" s="11" t="s">
        <v>146</v>
      </c>
      <c r="B4" s="9">
        <v>0.32046110477998746</v>
      </c>
    </row>
    <row r="5" spans="1:2" x14ac:dyDescent="0.35">
      <c r="A5" s="11" t="s">
        <v>145</v>
      </c>
      <c r="B5" s="9">
        <v>0.28855210770949685</v>
      </c>
    </row>
    <row r="6" spans="1:2" x14ac:dyDescent="0.35">
      <c r="A6" s="11" t="s">
        <v>147</v>
      </c>
      <c r="B6" s="9">
        <v>0.19900888090055094</v>
      </c>
    </row>
    <row r="7" spans="1:2" x14ac:dyDescent="0.35">
      <c r="A7" s="11" t="s">
        <v>143</v>
      </c>
      <c r="B7" s="9">
        <v>9.2568320233967105E-2</v>
      </c>
    </row>
    <row r="8" spans="1:2" x14ac:dyDescent="0.35">
      <c r="A8" s="11" t="s">
        <v>159</v>
      </c>
      <c r="B8" s="9">
        <v>0.30002950865390332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74"/>
  <sheetViews>
    <sheetView topLeftCell="A23" workbookViewId="0">
      <selection activeCell="G46" sqref="G46"/>
    </sheetView>
  </sheetViews>
  <sheetFormatPr defaultRowHeight="14.5" x14ac:dyDescent="0.35"/>
  <cols>
    <col min="1" max="1" width="12.36328125" customWidth="1"/>
    <col min="2" max="2" width="15.7265625" customWidth="1"/>
    <col min="3" max="3" width="23.54296875" customWidth="1"/>
  </cols>
  <sheetData>
    <row r="2" spans="1:3" x14ac:dyDescent="0.35">
      <c r="A2" s="18"/>
      <c r="B2" s="19"/>
      <c r="C2" s="20"/>
    </row>
    <row r="3" spans="1:3" x14ac:dyDescent="0.35">
      <c r="A3" s="21"/>
      <c r="B3" s="22"/>
      <c r="C3" s="23"/>
    </row>
    <row r="4" spans="1:3" x14ac:dyDescent="0.35">
      <c r="A4" s="21"/>
      <c r="B4" s="22"/>
      <c r="C4" s="23"/>
    </row>
    <row r="5" spans="1:3" x14ac:dyDescent="0.35">
      <c r="A5" s="21"/>
      <c r="B5" s="22"/>
      <c r="C5" s="23"/>
    </row>
    <row r="6" spans="1:3" x14ac:dyDescent="0.35">
      <c r="A6" s="21"/>
      <c r="B6" s="22"/>
      <c r="C6" s="23"/>
    </row>
    <row r="7" spans="1:3" x14ac:dyDescent="0.35">
      <c r="A7" s="21"/>
      <c r="B7" s="22"/>
      <c r="C7" s="23"/>
    </row>
    <row r="8" spans="1:3" x14ac:dyDescent="0.35">
      <c r="A8" s="21"/>
      <c r="B8" s="22"/>
      <c r="C8" s="23"/>
    </row>
    <row r="9" spans="1:3" x14ac:dyDescent="0.35">
      <c r="A9" s="21"/>
      <c r="B9" s="22"/>
      <c r="C9" s="23"/>
    </row>
    <row r="10" spans="1:3" x14ac:dyDescent="0.35">
      <c r="A10" s="21"/>
      <c r="B10" s="22"/>
      <c r="C10" s="23"/>
    </row>
    <row r="11" spans="1:3" x14ac:dyDescent="0.35">
      <c r="A11" s="21"/>
      <c r="B11" s="22"/>
      <c r="C11" s="23"/>
    </row>
    <row r="12" spans="1:3" x14ac:dyDescent="0.35">
      <c r="A12" s="21"/>
      <c r="B12" s="22"/>
      <c r="C12" s="23"/>
    </row>
    <row r="13" spans="1:3" x14ac:dyDescent="0.35">
      <c r="A13" s="21"/>
      <c r="B13" s="22"/>
      <c r="C13" s="23"/>
    </row>
    <row r="14" spans="1:3" x14ac:dyDescent="0.35">
      <c r="A14" s="21"/>
      <c r="B14" s="22"/>
      <c r="C14" s="23"/>
    </row>
    <row r="15" spans="1:3" x14ac:dyDescent="0.35">
      <c r="A15" s="21"/>
      <c r="B15" s="22"/>
      <c r="C15" s="23"/>
    </row>
    <row r="16" spans="1:3" x14ac:dyDescent="0.35">
      <c r="A16" s="21"/>
      <c r="B16" s="22"/>
      <c r="C16" s="23"/>
    </row>
    <row r="17" spans="1:3" x14ac:dyDescent="0.35">
      <c r="A17" s="21"/>
      <c r="B17" s="22"/>
      <c r="C17" s="23"/>
    </row>
    <row r="18" spans="1:3" x14ac:dyDescent="0.35">
      <c r="A18" s="21"/>
      <c r="B18" s="22"/>
      <c r="C18" s="23"/>
    </row>
    <row r="19" spans="1:3" x14ac:dyDescent="0.35">
      <c r="A19" s="24"/>
      <c r="B19" s="25"/>
      <c r="C19" s="26"/>
    </row>
    <row r="27" spans="1:3" x14ac:dyDescent="0.35">
      <c r="A27" s="10" t="s">
        <v>158</v>
      </c>
      <c r="B27" t="s">
        <v>175</v>
      </c>
      <c r="C27" t="s">
        <v>161</v>
      </c>
    </row>
    <row r="28" spans="1:3" x14ac:dyDescent="0.35">
      <c r="A28" s="11" t="s">
        <v>42</v>
      </c>
      <c r="B28" s="9">
        <v>94814.151747055075</v>
      </c>
      <c r="C28" s="9">
        <v>161521.26599948306</v>
      </c>
    </row>
    <row r="29" spans="1:3" x14ac:dyDescent="0.35">
      <c r="A29" s="11" t="s">
        <v>23</v>
      </c>
      <c r="B29" s="9">
        <v>78829.357277644041</v>
      </c>
      <c r="C29" s="9">
        <v>174455.39060546222</v>
      </c>
    </row>
    <row r="30" spans="1:3" x14ac:dyDescent="0.35">
      <c r="A30" s="11" t="s">
        <v>28</v>
      </c>
      <c r="B30" s="9">
        <v>139338.4186342388</v>
      </c>
      <c r="C30" s="9">
        <v>241628.16213306302</v>
      </c>
    </row>
    <row r="31" spans="1:3" x14ac:dyDescent="0.35">
      <c r="A31" s="11" t="s">
        <v>159</v>
      </c>
      <c r="B31" s="9">
        <v>312981.92765893787</v>
      </c>
      <c r="C31" s="9">
        <v>577604.81873800838</v>
      </c>
    </row>
    <row r="57" spans="1:3" x14ac:dyDescent="0.35">
      <c r="A57" s="18"/>
      <c r="B57" s="19"/>
      <c r="C57" s="20"/>
    </row>
    <row r="58" spans="1:3" x14ac:dyDescent="0.35">
      <c r="A58" s="21"/>
      <c r="B58" s="22"/>
      <c r="C58" s="23"/>
    </row>
    <row r="59" spans="1:3" x14ac:dyDescent="0.35">
      <c r="A59" s="21"/>
      <c r="B59" s="22"/>
      <c r="C59" s="23"/>
    </row>
    <row r="60" spans="1:3" x14ac:dyDescent="0.35">
      <c r="A60" s="21"/>
      <c r="B60" s="22"/>
      <c r="C60" s="23"/>
    </row>
    <row r="61" spans="1:3" x14ac:dyDescent="0.35">
      <c r="A61" s="21"/>
      <c r="B61" s="22"/>
      <c r="C61" s="23"/>
    </row>
    <row r="62" spans="1:3" x14ac:dyDescent="0.35">
      <c r="A62" s="21"/>
      <c r="B62" s="22"/>
      <c r="C62" s="23"/>
    </row>
    <row r="63" spans="1:3" x14ac:dyDescent="0.35">
      <c r="A63" s="21"/>
      <c r="B63" s="22"/>
      <c r="C63" s="23"/>
    </row>
    <row r="64" spans="1:3" x14ac:dyDescent="0.35">
      <c r="A64" s="21"/>
      <c r="B64" s="22"/>
      <c r="C64" s="23"/>
    </row>
    <row r="65" spans="1:3" x14ac:dyDescent="0.35">
      <c r="A65" s="21"/>
      <c r="B65" s="22"/>
      <c r="C65" s="23"/>
    </row>
    <row r="66" spans="1:3" x14ac:dyDescent="0.35">
      <c r="A66" s="21"/>
      <c r="B66" s="22"/>
      <c r="C66" s="23"/>
    </row>
    <row r="67" spans="1:3" x14ac:dyDescent="0.35">
      <c r="A67" s="21"/>
      <c r="B67" s="22"/>
      <c r="C67" s="23"/>
    </row>
    <row r="68" spans="1:3" x14ac:dyDescent="0.35">
      <c r="A68" s="21"/>
      <c r="B68" s="22"/>
      <c r="C68" s="23"/>
    </row>
    <row r="69" spans="1:3" x14ac:dyDescent="0.35">
      <c r="A69" s="21"/>
      <c r="B69" s="22"/>
      <c r="C69" s="23"/>
    </row>
    <row r="70" spans="1:3" x14ac:dyDescent="0.35">
      <c r="A70" s="21"/>
      <c r="B70" s="22"/>
      <c r="C70" s="23"/>
    </row>
    <row r="71" spans="1:3" x14ac:dyDescent="0.35">
      <c r="A71" s="21"/>
      <c r="B71" s="22"/>
      <c r="C71" s="23"/>
    </row>
    <row r="72" spans="1:3" x14ac:dyDescent="0.35">
      <c r="A72" s="21"/>
      <c r="B72" s="22"/>
      <c r="C72" s="23"/>
    </row>
    <row r="73" spans="1:3" x14ac:dyDescent="0.35">
      <c r="A73" s="21"/>
      <c r="B73" s="22"/>
      <c r="C73" s="23"/>
    </row>
    <row r="74" spans="1:3" x14ac:dyDescent="0.35">
      <c r="A74" s="24"/>
      <c r="B74" s="25"/>
      <c r="C74" s="26"/>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56" zoomScaleNormal="78" zoomScaleSheetLayoutView="25" zoomScalePageLayoutView="39" workbookViewId="0">
      <selection activeCell="AI27" sqref="AI27"/>
    </sheetView>
  </sheetViews>
  <sheetFormatPr defaultRowHeight="14.5" x14ac:dyDescent="0.35"/>
  <cols>
    <col min="1" max="16384" width="8.7265625" style="12"/>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27"/>
  <sheetViews>
    <sheetView workbookViewId="0">
      <selection activeCell="D27" sqref="D27"/>
    </sheetView>
  </sheetViews>
  <sheetFormatPr defaultRowHeight="14.5" x14ac:dyDescent="0.35"/>
  <cols>
    <col min="1" max="1" width="12.36328125" customWidth="1"/>
    <col min="2" max="2" width="28.26953125" customWidth="1"/>
    <col min="3" max="3" width="22.6328125" customWidth="1"/>
  </cols>
  <sheetData>
    <row r="2" spans="1:3" x14ac:dyDescent="0.35">
      <c r="A2" s="10" t="s">
        <v>158</v>
      </c>
      <c r="B2" t="s">
        <v>162</v>
      </c>
      <c r="C2" t="s">
        <v>163</v>
      </c>
    </row>
    <row r="3" spans="1:3" x14ac:dyDescent="0.35">
      <c r="A3" s="11" t="s">
        <v>137</v>
      </c>
      <c r="B3" s="9">
        <v>5.5549225216512665</v>
      </c>
      <c r="C3" s="9">
        <v>6.1428571428571432</v>
      </c>
    </row>
    <row r="4" spans="1:3" x14ac:dyDescent="0.35">
      <c r="A4" s="11" t="s">
        <v>139</v>
      </c>
      <c r="B4" s="9">
        <v>5.5992916183375021</v>
      </c>
      <c r="C4" s="9">
        <v>6.0344827586206895</v>
      </c>
    </row>
    <row r="5" spans="1:3" x14ac:dyDescent="0.35">
      <c r="A5" s="11" t="s">
        <v>138</v>
      </c>
      <c r="B5" s="9">
        <v>5.5092469689287276</v>
      </c>
      <c r="C5" s="9">
        <v>5.3023255813953485</v>
      </c>
    </row>
    <row r="6" spans="1:3" x14ac:dyDescent="0.35">
      <c r="A6" s="11" t="s">
        <v>159</v>
      </c>
      <c r="B6" s="9">
        <v>5.548149072019581</v>
      </c>
      <c r="C6" s="9">
        <v>5.75</v>
      </c>
    </row>
    <row r="22" spans="1:2" x14ac:dyDescent="0.35">
      <c r="A22" s="10" t="s">
        <v>158</v>
      </c>
      <c r="B22" t="s">
        <v>160</v>
      </c>
    </row>
    <row r="23" spans="1:2" x14ac:dyDescent="0.35">
      <c r="A23" s="11" t="s">
        <v>32</v>
      </c>
      <c r="B23" s="9">
        <v>15211</v>
      </c>
    </row>
    <row r="24" spans="1:2" x14ac:dyDescent="0.35">
      <c r="A24" s="11" t="s">
        <v>30</v>
      </c>
      <c r="B24" s="9">
        <v>12801</v>
      </c>
    </row>
    <row r="25" spans="1:2" x14ac:dyDescent="0.35">
      <c r="A25" s="11" t="s">
        <v>25</v>
      </c>
      <c r="B25" s="9">
        <v>10580</v>
      </c>
    </row>
    <row r="26" spans="1:2" x14ac:dyDescent="0.35">
      <c r="A26" s="11" t="s">
        <v>40</v>
      </c>
      <c r="B26" s="9">
        <v>7507</v>
      </c>
    </row>
    <row r="27" spans="1:2" x14ac:dyDescent="0.35">
      <c r="A27" s="11" t="s">
        <v>159</v>
      </c>
      <c r="B27" s="9">
        <v>46099</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supplychain_dataset</vt:lpstr>
      <vt:lpstr>supply_chain_clean_dataset</vt:lpstr>
      <vt:lpstr>kpis</vt:lpstr>
      <vt:lpstr>operatinal &amp; quality pivots</vt:lpstr>
      <vt:lpstr>profitmrg by hub pivot </vt:lpstr>
      <vt:lpstr>product perform pivots</vt:lpstr>
      <vt:lpstr>dashboard</vt:lpstr>
      <vt:lpstr>shipping cost vs time 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Aslam</dc:creator>
  <cp:lastModifiedBy>PMLS</cp:lastModifiedBy>
  <dcterms:created xsi:type="dcterms:W3CDTF">2026-03-15T19:14:36Z</dcterms:created>
  <dcterms:modified xsi:type="dcterms:W3CDTF">2026-03-18T15:30:55Z</dcterms:modified>
</cp:coreProperties>
</file>